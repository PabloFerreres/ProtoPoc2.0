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327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ferreres\PycharmProjects\ProtoPoC\data\"/>
    </mc:Choice>
  </mc:AlternateContent>
  <xr:revisionPtr revIDLastSave="0" documentId="13_ncr:1_{338AA09F-513D-495A-943F-94F4D4FCA442}" xr6:coauthVersionLast="47" xr6:coauthVersionMax="47" xr10:uidLastSave="{00000000-0000-0000-0000-000000000000}"/>
  <bookViews>
    <workbookView xWindow="1200" yWindow="900" windowWidth="23895" windowHeight="12570" activeTab="1" xr2:uid="{00000000-000D-0000-FFFF-FFFF00000000}"/>
  </bookViews>
  <sheets>
    <sheet name="Halle von Durin.Arma" sheetId="1" r:id="rId1"/>
    <sheet name="Grab von Balin.Arma" sheetId="2" r:id="rId2"/>
    <sheet name="Brücke von Khazad-dûm.Arma" sheetId="3" r:id="rId3"/>
    <sheet name="Magik" sheetId="4" r:id="rId4"/>
    <sheet name="Mechanik" sheetId="5" r:id="rId5"/>
    <sheet name="Tabelle3" sheetId="6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" i="3" l="1"/>
  <c r="E2" i="2"/>
  <c r="E2" i="1"/>
</calcChain>
</file>

<file path=xl/sharedStrings.xml><?xml version="1.0" encoding="utf-8"?>
<sst xmlns="http://schemas.openxmlformats.org/spreadsheetml/2006/main" count="264" uniqueCount="130">
  <si>
    <t>Beschreibung</t>
  </si>
  <si>
    <t>Einbauort</t>
  </si>
  <si>
    <t>Hersteller</t>
  </si>
  <si>
    <t>intern intern intern ---&gt;</t>
  </si>
  <si>
    <t>&lt;--- intern intern intern</t>
  </si>
  <si>
    <t>Ort</t>
  </si>
  <si>
    <t>Gebäude</t>
  </si>
  <si>
    <t>Bauteil</t>
  </si>
  <si>
    <t>Gewicht</t>
  </si>
  <si>
    <t>Material</t>
  </si>
  <si>
    <t>Größe</t>
  </si>
  <si>
    <t>Call-ID</t>
  </si>
  <si>
    <t>Magische-Relevanz</t>
  </si>
  <si>
    <t>Spell</t>
  </si>
  <si>
    <t>Moria</t>
  </si>
  <si>
    <t>Brücke von Khazad-dûm</t>
  </si>
  <si>
    <t>Segment 923</t>
  </si>
  <si>
    <t>1939 kg</t>
  </si>
  <si>
    <t>Weißes Holz</t>
  </si>
  <si>
    <t>2.6 m x 0.7 m</t>
  </si>
  <si>
    <t>Aura-Verstärkung</t>
  </si>
  <si>
    <t>Noldor-Schmiede</t>
  </si>
  <si>
    <t>Brücke von Khazad-dûm – Geheimkammer</t>
  </si>
  <si>
    <t>Teil eines geheimen Mechanismus.</t>
  </si>
  <si>
    <t>Element 263</t>
  </si>
  <si>
    <t>2935 kg</t>
  </si>
  <si>
    <t>Kristallglas</t>
  </si>
  <si>
    <t>2.3 m x 1.7 m</t>
  </si>
  <si>
    <t>Elbische Schmiede</t>
  </si>
  <si>
    <t>Brücke von Khazad-dûm – Wachturmspitze</t>
  </si>
  <si>
    <t>Dekoratives Element mit Schutzrunen.</t>
  </si>
  <si>
    <t>Modul 547</t>
  </si>
  <si>
    <t>1627 kg</t>
  </si>
  <si>
    <t>Obsidian</t>
  </si>
  <si>
    <t>2.7 m x 1.9 m</t>
  </si>
  <si>
    <t>Archivare von Imladris</t>
  </si>
  <si>
    <t>Brücke von Khazad-dûm – Dachbalken</t>
  </si>
  <si>
    <t>Mit elbischen Schriftzeichen versehen.</t>
  </si>
  <si>
    <t>Relais 260</t>
  </si>
  <si>
    <t>2471 kg</t>
  </si>
  <si>
    <t>Zwergenstahl</t>
  </si>
  <si>
    <t>3.2 m x 2.0 m</t>
  </si>
  <si>
    <t>Khazad-dûm Werkstätten</t>
  </si>
  <si>
    <t>Brücke von Khazad-dûm – Brückensockel</t>
  </si>
  <si>
    <t>Konsole 300</t>
  </si>
  <si>
    <t>1167 kg</t>
  </si>
  <si>
    <t>Schwarzer Stahl</t>
  </si>
  <si>
    <t>1.2 m x 1.3 m</t>
  </si>
  <si>
    <t>Brücke von Khazad-dûm – Bibliotheksecke</t>
  </si>
  <si>
    <t>Besonders leicht und dennoch stabil.</t>
  </si>
  <si>
    <t>Element 815</t>
  </si>
  <si>
    <t>2839 kg</t>
  </si>
  <si>
    <t>1.4 m x 1.3 m</t>
  </si>
  <si>
    <t>Brücke von Khazad-dûm – Kuppeldecke</t>
  </si>
  <si>
    <t>Relais 700</t>
  </si>
  <si>
    <t>2284 kg</t>
  </si>
  <si>
    <t>Silberbronze</t>
  </si>
  <si>
    <t>2.5 m x 0.9 m</t>
  </si>
  <si>
    <t>Brücke von Khazad-dûm – Fronttür</t>
  </si>
  <si>
    <t>Verstärkt gegen magische Angriffe.</t>
  </si>
  <si>
    <t>Grab von Balin</t>
  </si>
  <si>
    <t>Element 298</t>
  </si>
  <si>
    <t>2558 kg</t>
  </si>
  <si>
    <t>1.7 m x 2.1 m</t>
  </si>
  <si>
    <t>Grab von Balin – Kuppeldecke</t>
  </si>
  <si>
    <t>Segment 536</t>
  </si>
  <si>
    <t>1545 kg</t>
  </si>
  <si>
    <t>Mithril</t>
  </si>
  <si>
    <t>3.8 m x 2.9 m</t>
  </si>
  <si>
    <t>Grab von Balin – Fronttür</t>
  </si>
  <si>
    <t>Trägt zur strukturellen Integrität bei.</t>
  </si>
  <si>
    <t>Segment 503</t>
  </si>
  <si>
    <t>690 kg</t>
  </si>
  <si>
    <t>2.0 m x 3.0 m</t>
  </si>
  <si>
    <t>Dunkelschmiede Mordor</t>
  </si>
  <si>
    <t>Grab von Balin – Ratszimmer</t>
  </si>
  <si>
    <t>Verbindung 596</t>
  </si>
  <si>
    <t>750 kg</t>
  </si>
  <si>
    <t>1.4 m x 1.9 m</t>
  </si>
  <si>
    <t>Relais 192</t>
  </si>
  <si>
    <t>2166 kg</t>
  </si>
  <si>
    <t>0.7 m x 2.3 m</t>
  </si>
  <si>
    <t>Grab von Balin – Innenwand</t>
  </si>
  <si>
    <t>Fassung 906</t>
  </si>
  <si>
    <t>2238 kg</t>
  </si>
  <si>
    <t>2.3 m x 2.0 m</t>
  </si>
  <si>
    <t>Grab von Balin – Verbindungsbrücke</t>
  </si>
  <si>
    <t>Fassung 237</t>
  </si>
  <si>
    <t>418 kg</t>
  </si>
  <si>
    <t>1.9 m x 1.0 m</t>
  </si>
  <si>
    <t>Grab von Balin – Magiekammer</t>
  </si>
  <si>
    <t>Repariert bei der letzten Instandhaltung.</t>
  </si>
  <si>
    <t>Halle von Durin</t>
  </si>
  <si>
    <t>Konsole 847</t>
  </si>
  <si>
    <t>2300 kg</t>
  </si>
  <si>
    <t>1.1 m x 3.0 m</t>
  </si>
  <si>
    <t>Halle von Durin – Dachbalken</t>
  </si>
  <si>
    <t>Konsole 846</t>
  </si>
  <si>
    <t>2519 kg</t>
  </si>
  <si>
    <t>3.8 m x 3.0 m</t>
  </si>
  <si>
    <t>Halle von Durin – Fronttür</t>
  </si>
  <si>
    <t>Wurde im Krieg geschmiedet.</t>
  </si>
  <si>
    <t>Konsole 658</t>
  </si>
  <si>
    <t>1999 kg</t>
  </si>
  <si>
    <t>0.6 m x 2.3 m</t>
  </si>
  <si>
    <t>Halle von Durin – Magiekammer</t>
  </si>
  <si>
    <t>Anker 644</t>
  </si>
  <si>
    <t>762 kg</t>
  </si>
  <si>
    <t>3.4 m x 1.9 m</t>
  </si>
  <si>
    <t>Orks von Mordor</t>
  </si>
  <si>
    <t>Halle von Durin – Innenwand</t>
  </si>
  <si>
    <t>Relais 818</t>
  </si>
  <si>
    <t>947 kg</t>
  </si>
  <si>
    <t>Basaltstein</t>
  </si>
  <si>
    <t>1.9 m x 2.0 m</t>
  </si>
  <si>
    <t>Konsole 731</t>
  </si>
  <si>
    <t>1819 kg</t>
  </si>
  <si>
    <t>2.2 m x 1.8 m</t>
  </si>
  <si>
    <t>Halle von Durin – Kellerraum</t>
  </si>
  <si>
    <t>Anker 105</t>
  </si>
  <si>
    <t>288 kg</t>
  </si>
  <si>
    <t>2.8 m x 2.6 m</t>
  </si>
  <si>
    <t>Zwerge von Durin</t>
  </si>
  <si>
    <t>Verbindung zwischen zwei Hauptteilen.</t>
  </si>
  <si>
    <t>M</t>
  </si>
  <si>
    <t>Lieferant</t>
  </si>
  <si>
    <t xml:space="preserve"> </t>
  </si>
  <si>
    <t>A</t>
  </si>
  <si>
    <t>Revision</t>
  </si>
  <si>
    <t xml:space="preserve">                                        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</si>
</sst>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2" formatCode="_-* #,##0\ &quot;€&quot;_-;\-* #,##0\ &quot;€&quot;_-;_-* &quot;-&quot;\ &quot;€&quot;_-;_-@_-"/>
    <numFmt numFmtId="164" formatCode="#,##0.00\ _€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name val="Arial"/>
      <family val="2"/>
    </font>
    <font>
      <b/>
      <sz val="12"/>
      <name val="Arial"/>
      <family val="2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sz val="10"/>
      <name val="Arial"/>
      <family val="2"/>
    </font>
    <font>
      <sz val="12"/>
      <color theme="9" tint="-0.249977111117893"/>
      <name val="Arial"/>
      <family val="2"/>
    </font>
    <font>
      <sz val="11"/>
      <color theme="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4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6" fillId="0" borderId="0"/>
  </cellStyleXfs>
  <cellXfs count="22">
    <xf numFmtId="0" fontId="0" fillId="0" borderId="0" xfId="0"/>
    <xf numFmtId="0" fontId="2" fillId="0" borderId="0" xfId="0" applyFont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49" fontId="3" fillId="0" borderId="0" xfId="0" applyNumberFormat="1" applyFont="1" applyAlignment="1">
      <alignment horizontal="center" vertical="center" wrapText="1"/>
    </xf>
    <xf numFmtId="0" fontId="3" fillId="0" borderId="0" xfId="0" applyFont="1" applyAlignment="1">
      <alignment horizontal="center" vertical="center" textRotation="90" wrapText="1"/>
    </xf>
    <xf numFmtId="164" fontId="3" fillId="0" borderId="0" xfId="0" applyNumberFormat="1" applyFont="1" applyAlignment="1">
      <alignment horizontal="center" vertical="center" textRotation="90" wrapText="1"/>
    </xf>
    <xf numFmtId="42" fontId="3" fillId="0" borderId="0" xfId="0" applyNumberFormat="1" applyFont="1" applyAlignment="1">
      <alignment horizontal="center" vertical="center" wrapText="1"/>
    </xf>
    <xf numFmtId="3" fontId="2" fillId="0" borderId="0" xfId="1" applyNumberFormat="1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8" fillId="2" borderId="0" xfId="0" applyFont="1" applyFill="1" applyAlignment="1">
      <alignment horizontal="center" vertical="center"/>
    </xf>
    <xf numFmtId="0" fontId="2" fillId="3" borderId="0" xfId="0" applyFont="1" applyFill="1" applyAlignment="1">
      <alignment horizontal="center" vertical="center" wrapText="1"/>
    </xf>
    <xf numFmtId="49" fontId="5" fillId="3" borderId="0" xfId="0" applyNumberFormat="1" applyFont="1" applyFill="1" applyAlignment="1" applyProtection="1">
      <alignment horizontal="center" vertical="center" wrapText="1"/>
      <protection locked="0"/>
    </xf>
    <xf numFmtId="0" fontId="5" fillId="3" borderId="0" xfId="0" applyFont="1" applyFill="1" applyAlignment="1">
      <alignment horizontal="center" vertical="center" wrapText="1"/>
    </xf>
    <xf numFmtId="0" fontId="3" fillId="4" borderId="0" xfId="0" applyFont="1" applyFill="1" applyAlignment="1">
      <alignment horizontal="center" vertical="center" wrapText="1"/>
    </xf>
    <xf numFmtId="0" fontId="5" fillId="4" borderId="0" xfId="0" applyFont="1" applyFill="1" applyAlignment="1">
      <alignment horizontal="center" vertical="center" wrapText="1"/>
    </xf>
    <xf numFmtId="0" fontId="4" fillId="4" borderId="0" xfId="0" applyFont="1" applyFill="1" applyAlignment="1">
      <alignment horizontal="center" vertical="center" wrapText="1"/>
    </xf>
    <xf numFmtId="0" fontId="4" fillId="3" borderId="0" xfId="0" applyFont="1" applyFill="1" applyAlignment="1">
      <alignment horizontal="center" vertical="center" wrapText="1"/>
    </xf>
    <xf numFmtId="0" fontId="4" fillId="5" borderId="0" xfId="0" applyFont="1" applyFill="1" applyAlignment="1">
      <alignment horizontal="center" vertical="center" wrapText="1"/>
    </xf>
    <xf numFmtId="0" fontId="4" fillId="6" borderId="0" xfId="0" applyFont="1" applyFill="1" applyAlignment="1">
      <alignment horizontal="center" vertical="center" wrapText="1"/>
    </xf>
    <xf numFmtId="0" fontId="4" fillId="7" borderId="0" xfId="0" applyFont="1" applyFill="1" applyAlignment="1">
      <alignment horizontal="center" vertical="center" wrapText="1"/>
    </xf>
    <xf numFmtId="0" fontId="0" fillId="0" borderId="0" xfId="0" applyAlignment="1">
      <alignment horizontal="center" vertical="center"/>
    </xf>
  </cellXfs>
  <cellStyles count="3">
    <cellStyle name="Prozent" xfId="1" builtinId="5"/>
    <cellStyle name="Standard" xfId="0" builtinId="0"/>
    <cellStyle name="Standard 2 2 2" xfId="2" xr:uid="{D7D7BEE9-0F88-4E53-8C89-BBFF38B744A2}"/>
  </cellStyles>
  <dxfs count="30">
    <dxf>
      <font>
        <b/>
        <i val="0"/>
      </font>
      <fill>
        <patternFill patternType="lightUp">
          <fgColor theme="0" tint="-0.499984740745262"/>
          <bgColor rgb="FF92D050"/>
        </patternFill>
      </fill>
    </dxf>
    <dxf>
      <fill>
        <patternFill patternType="solid">
          <fgColor theme="0" tint="-0.499984740745262"/>
          <bgColor rgb="FFFF0000"/>
        </patternFill>
      </fill>
    </dxf>
    <dxf>
      <font>
        <color theme="1"/>
      </font>
      <numFmt numFmtId="0" formatCode="General"/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 patternType="lightUp">
          <fgColor theme="0" tint="-0.499984740745262"/>
          <bgColor rgb="FF92D050"/>
        </patternFill>
      </fill>
    </dxf>
    <dxf>
      <fill>
        <patternFill patternType="solid">
          <fgColor theme="0" tint="-0.499984740745262"/>
          <bgColor rgb="FFFF0000"/>
        </patternFill>
      </fill>
    </dxf>
    <dxf>
      <font>
        <b/>
        <i val="0"/>
      </font>
      <fill>
        <patternFill patternType="lightUp">
          <fgColor theme="0" tint="-0.499984740745262"/>
          <bgColor rgb="FF92D050"/>
        </patternFill>
      </fill>
    </dxf>
    <dxf>
      <fill>
        <patternFill patternType="solid">
          <fgColor theme="0" tint="-0.499984740745262"/>
          <bgColor rgb="FFFF0000"/>
        </patternFill>
      </fill>
    </dxf>
    <dxf>
      <font>
        <color theme="1"/>
      </font>
      <numFmt numFmtId="0" formatCode="General"/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 patternType="lightUp">
          <fgColor theme="0" tint="-0.499984740745262"/>
          <bgColor rgb="FF92D050"/>
        </patternFill>
      </fill>
    </dxf>
    <dxf>
      <fill>
        <patternFill patternType="solid">
          <fgColor theme="0" tint="-0.499984740745262"/>
          <bgColor rgb="FFFF0000"/>
        </patternFill>
      </fill>
    </dxf>
    <dxf>
      <font>
        <b/>
        <i val="0"/>
      </font>
      <fill>
        <patternFill patternType="lightUp">
          <fgColor theme="0" tint="-0.499984740745262"/>
          <bgColor rgb="FF92D050"/>
        </patternFill>
      </fill>
    </dxf>
    <dxf>
      <fill>
        <patternFill patternType="solid">
          <fgColor theme="0" tint="-0.499984740745262"/>
          <bgColor rgb="FFFF0000"/>
        </patternFill>
      </fill>
    </dxf>
    <dxf>
      <font>
        <color theme="1"/>
      </font>
      <numFmt numFmtId="0" formatCode="General"/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 patternType="lightUp">
          <fgColor theme="0" tint="-0.499984740745262"/>
          <bgColor rgb="FF92D050"/>
        </patternFill>
      </fill>
    </dxf>
    <dxf>
      <fill>
        <patternFill patternType="solid">
          <fgColor theme="0" tint="-0.499984740745262"/>
          <bgColor rgb="FFFF0000"/>
        </patternFill>
      </fill>
    </dxf>
  </dxfs>
  <tableStyles count="0" defaultTableStyle="TableStyleMedium2" defaultPivotStyle="PivotStyleLight16"/>
  <colors>
    <mruColors>
      <color rgb="FFFFFF99"/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BM9"/>
  <sheetViews>
    <sheetView zoomScaleNormal="100" workbookViewId="0">
      <selection activeCell="N1" sqref="N1"/>
    </sheetView>
  </sheetViews>
  <sheetFormatPr baseColWidth="10" defaultColWidth="9.140625" defaultRowHeight="15" x14ac:dyDescent="0.25"/>
  <cols>
    <col min="2" max="2" width="12.42578125" customWidth="1"/>
    <col min="4" max="4" width="23.42578125" customWidth="1"/>
    <col min="5" max="5" width="16.5703125" customWidth="1"/>
    <col min="7" max="7" width="17.140625" customWidth="1"/>
    <col min="8" max="8" width="15.140625" customWidth="1"/>
    <col min="9" max="9" width="17" customWidth="1"/>
    <col min="10" max="11" width="25.140625" customWidth="1"/>
    <col min="13" max="13" width="11.28515625" customWidth="1"/>
  </cols>
  <sheetData>
    <row r="1" spans="1:65" ht="63" x14ac:dyDescent="0.25">
      <c r="A1" s="10" t="s">
        <v>11</v>
      </c>
      <c r="B1" s="11" t="s">
        <v>5</v>
      </c>
      <c r="C1" s="12" t="s">
        <v>12</v>
      </c>
      <c r="D1" s="2" t="s">
        <v>6</v>
      </c>
      <c r="E1" s="13" t="s">
        <v>7</v>
      </c>
      <c r="F1" s="14" t="s">
        <v>8</v>
      </c>
      <c r="G1" s="15" t="s">
        <v>9</v>
      </c>
      <c r="H1" s="16" t="s">
        <v>10</v>
      </c>
      <c r="I1" s="19" t="s">
        <v>13</v>
      </c>
      <c r="J1" s="16" t="s">
        <v>2</v>
      </c>
      <c r="K1" s="20" t="s">
        <v>125</v>
      </c>
      <c r="L1" s="17" t="s">
        <v>1</v>
      </c>
      <c r="M1" s="18" t="s">
        <v>0</v>
      </c>
      <c r="N1" s="21" t="s">
        <v>128</v>
      </c>
    </row>
    <row r="2" spans="1:65" s="1" customFormat="1" ht="39" customHeight="1" x14ac:dyDescent="0.25">
      <c r="E2" s="3" t="str">
        <f>IF((SUBTOTAL(3,$J:$J)&lt;&gt;COUNTA($J:$J))=FALSE,"Kein Filter aktiv","Filter aktiv")</f>
        <v>Kein Filter aktiv</v>
      </c>
      <c r="O2" s="2"/>
      <c r="P2" s="2"/>
      <c r="Q2" s="2"/>
      <c r="R2" s="4"/>
      <c r="S2" s="4"/>
      <c r="T2" s="4"/>
      <c r="U2" s="3"/>
      <c r="V2" s="3"/>
      <c r="W2" s="2"/>
      <c r="X2" s="2"/>
      <c r="Y2" s="2"/>
      <c r="Z2" s="2"/>
      <c r="AA2" s="2"/>
      <c r="AB2" s="2"/>
      <c r="AC2" s="2"/>
      <c r="AD2" s="2"/>
      <c r="AE2" s="2"/>
      <c r="AF2" s="3"/>
      <c r="AG2" s="3"/>
      <c r="AH2" s="3"/>
      <c r="AI2" s="3"/>
      <c r="AJ2" s="4"/>
      <c r="AK2" s="2"/>
      <c r="AL2" s="3"/>
      <c r="AM2" s="3"/>
      <c r="AN2" s="3"/>
      <c r="AO2" s="3"/>
      <c r="AP2" s="3"/>
      <c r="AQ2" s="3"/>
      <c r="AR2" s="4" t="s">
        <v>3</v>
      </c>
      <c r="AS2" s="5"/>
      <c r="AT2" s="6"/>
      <c r="AU2" s="7"/>
      <c r="AV2" s="8"/>
      <c r="AW2" s="3"/>
      <c r="AX2" s="3"/>
      <c r="AY2" s="3"/>
      <c r="AZ2" s="3"/>
      <c r="BA2" s="3" t="s">
        <v>4</v>
      </c>
      <c r="BB2" s="3"/>
      <c r="BC2" s="3"/>
      <c r="BD2" s="3"/>
      <c r="BE2" s="3"/>
      <c r="BF2" s="3"/>
      <c r="BG2" s="3"/>
      <c r="BH2" s="3"/>
      <c r="BM2" s="9"/>
    </row>
    <row r="3" spans="1:65" x14ac:dyDescent="0.25">
      <c r="B3" t="s">
        <v>14</v>
      </c>
      <c r="D3" t="s">
        <v>92</v>
      </c>
      <c r="E3" t="s">
        <v>93</v>
      </c>
      <c r="F3" t="s">
        <v>94</v>
      </c>
      <c r="G3" t="s">
        <v>18</v>
      </c>
      <c r="H3" t="s">
        <v>95</v>
      </c>
      <c r="J3" t="s">
        <v>42</v>
      </c>
      <c r="L3" t="s">
        <v>96</v>
      </c>
      <c r="M3" t="s">
        <v>59</v>
      </c>
      <c r="N3" t="s">
        <v>127</v>
      </c>
    </row>
    <row r="4" spans="1:65" x14ac:dyDescent="0.25">
      <c r="B4" t="s">
        <v>14</v>
      </c>
      <c r="D4" t="s">
        <v>92</v>
      </c>
      <c r="E4" t="s">
        <v>97</v>
      </c>
      <c r="F4" t="s">
        <v>98</v>
      </c>
      <c r="G4" t="s">
        <v>18</v>
      </c>
      <c r="H4" t="s">
        <v>99</v>
      </c>
      <c r="J4" t="s">
        <v>42</v>
      </c>
      <c r="L4" t="s">
        <v>100</v>
      </c>
      <c r="M4" t="s">
        <v>101</v>
      </c>
      <c r="N4" t="s">
        <v>127</v>
      </c>
    </row>
    <row r="5" spans="1:65" x14ac:dyDescent="0.25">
      <c r="B5" t="s">
        <v>14</v>
      </c>
      <c r="D5" t="s">
        <v>92</v>
      </c>
      <c r="E5" t="s">
        <v>102</v>
      </c>
      <c r="F5" t="s">
        <v>103</v>
      </c>
      <c r="G5" t="s">
        <v>26</v>
      </c>
      <c r="H5" t="s">
        <v>104</v>
      </c>
      <c r="J5" t="s">
        <v>35</v>
      </c>
      <c r="L5" t="s">
        <v>105</v>
      </c>
      <c r="M5" t="s">
        <v>23</v>
      </c>
      <c r="N5" t="s">
        <v>127</v>
      </c>
    </row>
    <row r="6" spans="1:65" x14ac:dyDescent="0.25">
      <c r="B6" t="s">
        <v>14</v>
      </c>
      <c r="D6" t="s">
        <v>92</v>
      </c>
      <c r="E6" t="s">
        <v>106</v>
      </c>
      <c r="F6" t="s">
        <v>107</v>
      </c>
      <c r="G6" t="s">
        <v>67</v>
      </c>
      <c r="H6" t="s">
        <v>108</v>
      </c>
      <c r="J6" t="s">
        <v>109</v>
      </c>
      <c r="L6" t="s">
        <v>110</v>
      </c>
      <c r="M6" t="s">
        <v>59</v>
      </c>
      <c r="N6" t="s">
        <v>127</v>
      </c>
    </row>
    <row r="7" spans="1:65" x14ac:dyDescent="0.25">
      <c r="B7" t="s">
        <v>14</v>
      </c>
      <c r="C7" t="s">
        <v>124</v>
      </c>
      <c r="D7" t="s">
        <v>92</v>
      </c>
      <c r="E7" t="s">
        <v>111</v>
      </c>
      <c r="F7" t="s">
        <v>112</v>
      </c>
      <c r="G7" t="s">
        <v>113</v>
      </c>
      <c r="H7" t="s">
        <v>114</v>
      </c>
      <c r="I7" t="s">
        <v>20</v>
      </c>
      <c r="J7" t="s">
        <v>21</v>
      </c>
      <c r="L7" t="s">
        <v>96</v>
      </c>
      <c r="M7" t="s">
        <v>59</v>
      </c>
    </row>
    <row r="8" spans="1:65" x14ac:dyDescent="0.25">
      <c r="B8" t="s">
        <v>14</v>
      </c>
      <c r="D8" t="s">
        <v>92</v>
      </c>
      <c r="E8" t="s">
        <v>115</v>
      </c>
      <c r="F8" t="s">
        <v>116</v>
      </c>
      <c r="G8" t="s">
        <v>26</v>
      </c>
      <c r="H8" t="s">
        <v>117</v>
      </c>
      <c r="J8" t="s">
        <v>109</v>
      </c>
      <c r="L8" t="s">
        <v>118</v>
      </c>
      <c r="M8" t="s">
        <v>37</v>
      </c>
    </row>
    <row r="9" spans="1:65" x14ac:dyDescent="0.25">
      <c r="B9" t="s">
        <v>14</v>
      </c>
      <c r="C9" t="s">
        <v>124</v>
      </c>
      <c r="D9" t="s">
        <v>92</v>
      </c>
      <c r="E9" t="s">
        <v>119</v>
      </c>
      <c r="F9" t="s">
        <v>120</v>
      </c>
      <c r="G9" t="s">
        <v>33</v>
      </c>
      <c r="H9" t="s">
        <v>121</v>
      </c>
      <c r="I9" t="s">
        <v>20</v>
      </c>
      <c r="J9" t="s">
        <v>122</v>
      </c>
      <c r="L9" t="s">
        <v>105</v>
      </c>
      <c r="M9" t="s">
        <v>123</v>
      </c>
      <c r="N9" t="s">
        <v>127</v>
      </c>
    </row>
  </sheetData>
  <conditionalFormatting sqref="F1">
    <cfRule type="cellIs" dxfId="29" priority="9" operator="equal">
      <formula>"Filter aktiv"</formula>
    </cfRule>
    <cfRule type="cellIs" dxfId="28" priority="10" operator="equal">
      <formula>"Kein Filter aktiv"</formula>
    </cfRule>
  </conditionalFormatting>
  <conditionalFormatting sqref="E1">
    <cfRule type="containsText" dxfId="27" priority="4" operator="containsText" text="ESH">
      <formula>NOT(ISERROR(SEARCH("ESH",E1)))</formula>
    </cfRule>
    <cfRule type="containsText" dxfId="26" priority="5" operator="containsText" text="ES">
      <formula>NOT(ISERROR(SEARCH("ES",E1)))</formula>
    </cfRule>
  </conditionalFormatting>
  <conditionalFormatting sqref="D1">
    <cfRule type="containsText" dxfId="25" priority="6" operator="containsText" text="X">
      <formula>NOT(ISERROR(SEARCH("X",D1)))</formula>
    </cfRule>
    <cfRule type="containsText" dxfId="24" priority="7" operator="containsText" text="B">
      <formula>NOT(ISERROR(SEARCH("B",D1)))</formula>
    </cfRule>
    <cfRule type="containsText" dxfId="23" priority="8" operator="containsText" text="F">
      <formula>NOT(ISERROR(SEARCH("F",D1)))</formula>
    </cfRule>
  </conditionalFormatting>
  <conditionalFormatting sqref="AW2">
    <cfRule type="cellIs" dxfId="22" priority="3" operator="greaterThanOrEqual">
      <formula>6</formula>
    </cfRule>
  </conditionalFormatting>
  <conditionalFormatting sqref="E2">
    <cfRule type="cellIs" dxfId="21" priority="1" operator="equal">
      <formula>"Filter aktiv"</formula>
    </cfRule>
    <cfRule type="cellIs" dxfId="20" priority="2" operator="equal">
      <formula>"Kein Filter aktiv"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03F6DA-444B-48E4-9CC3-D0EB846374E6}">
  <sheetPr codeName="Tabelle2"/>
  <dimension ref="A1:BM21"/>
  <sheetViews>
    <sheetView tabSelected="1" workbookViewId="0">
      <selection activeCell="K15" sqref="K15"/>
    </sheetView>
  </sheetViews>
  <sheetFormatPr baseColWidth="10" defaultRowHeight="15" x14ac:dyDescent="0.25"/>
  <cols>
    <col min="4" max="4" width="20.140625" customWidth="1"/>
    <col min="5" max="5" width="19.42578125" customWidth="1"/>
    <col min="10" max="10" width="20.42578125" customWidth="1"/>
    <col min="11" max="11" width="25.140625" customWidth="1"/>
    <col min="12" max="12" width="15" customWidth="1"/>
  </cols>
  <sheetData>
    <row r="1" spans="1:65" ht="47.25" x14ac:dyDescent="0.25">
      <c r="A1" s="10" t="s">
        <v>11</v>
      </c>
      <c r="B1" s="11" t="s">
        <v>5</v>
      </c>
      <c r="C1" s="12" t="s">
        <v>12</v>
      </c>
      <c r="D1" s="2" t="s">
        <v>6</v>
      </c>
      <c r="E1" s="13" t="s">
        <v>7</v>
      </c>
      <c r="F1" s="14" t="s">
        <v>8</v>
      </c>
      <c r="G1" s="15" t="s">
        <v>9</v>
      </c>
      <c r="H1" s="16" t="s">
        <v>10</v>
      </c>
      <c r="I1" s="19" t="s">
        <v>13</v>
      </c>
      <c r="J1" s="16" t="s">
        <v>2</v>
      </c>
      <c r="K1" s="20" t="s">
        <v>125</v>
      </c>
      <c r="L1" s="17" t="s">
        <v>1</v>
      </c>
      <c r="M1" s="18" t="s">
        <v>0</v>
      </c>
      <c r="N1" t="s">
        <v>128</v>
      </c>
    </row>
    <row r="2" spans="1:65" s="1" customFormat="1" ht="39" customHeight="1" x14ac:dyDescent="0.25">
      <c r="E2" s="3" t="str">
        <f>IF((SUBTOTAL(3,$J:$J)&lt;&gt;COUNTA($J:$J))=FALSE,"Kein Filter aktiv","Filter aktiv")</f>
        <v>Kein Filter aktiv</v>
      </c>
      <c r="O2" s="2"/>
      <c r="P2" s="2"/>
      <c r="Q2" s="2"/>
      <c r="R2" s="4"/>
      <c r="S2" s="4"/>
      <c r="T2" s="4"/>
      <c r="U2" s="3"/>
      <c r="V2" s="3"/>
      <c r="W2" s="2"/>
      <c r="X2" s="2"/>
      <c r="Y2" s="2"/>
      <c r="Z2" s="2"/>
      <c r="AA2" s="2"/>
      <c r="AB2" s="2"/>
      <c r="AC2" s="2"/>
      <c r="AD2" s="2"/>
      <c r="AE2" s="2"/>
      <c r="AF2" s="3"/>
      <c r="AG2" s="3"/>
      <c r="AH2" s="3"/>
      <c r="AI2" s="3"/>
      <c r="AJ2" s="4"/>
      <c r="AK2" s="2"/>
      <c r="AL2" s="3"/>
      <c r="AM2" s="3"/>
      <c r="AN2" s="3"/>
      <c r="AO2" s="3"/>
      <c r="AP2" s="3"/>
      <c r="AQ2" s="3"/>
      <c r="AR2" s="4"/>
      <c r="AS2" s="5"/>
      <c r="AT2" s="6"/>
      <c r="AU2" s="7"/>
      <c r="AV2" s="8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H2" s="3"/>
      <c r="BM2" s="9"/>
    </row>
    <row r="3" spans="1:65" x14ac:dyDescent="0.25">
      <c r="B3" t="s">
        <v>14</v>
      </c>
      <c r="C3" t="s">
        <v>124</v>
      </c>
      <c r="D3" t="s">
        <v>60</v>
      </c>
      <c r="E3" t="s">
        <v>61</v>
      </c>
      <c r="F3" t="s">
        <v>62</v>
      </c>
      <c r="G3" t="s">
        <v>56</v>
      </c>
      <c r="H3" t="s">
        <v>63</v>
      </c>
      <c r="I3" t="s">
        <v>20</v>
      </c>
      <c r="J3" t="s">
        <v>28</v>
      </c>
      <c r="L3" t="s">
        <v>64</v>
      </c>
      <c r="M3" t="s">
        <v>49</v>
      </c>
    </row>
    <row r="4" spans="1:65" x14ac:dyDescent="0.25">
      <c r="B4" t="s">
        <v>14</v>
      </c>
      <c r="C4" t="s">
        <v>124</v>
      </c>
      <c r="D4" t="s">
        <v>60</v>
      </c>
      <c r="E4" t="s">
        <v>65</v>
      </c>
      <c r="F4" t="s">
        <v>66</v>
      </c>
      <c r="G4" t="s">
        <v>67</v>
      </c>
      <c r="H4" t="s">
        <v>68</v>
      </c>
      <c r="I4" t="s">
        <v>20</v>
      </c>
      <c r="J4" t="s">
        <v>28</v>
      </c>
      <c r="L4" t="s">
        <v>69</v>
      </c>
      <c r="M4" t="s">
        <v>70</v>
      </c>
    </row>
    <row r="5" spans="1:65" x14ac:dyDescent="0.25">
      <c r="B5" t="s">
        <v>14</v>
      </c>
      <c r="D5" t="s">
        <v>60</v>
      </c>
      <c r="E5" t="s">
        <v>71</v>
      </c>
      <c r="F5" t="s">
        <v>72</v>
      </c>
      <c r="G5" t="s">
        <v>33</v>
      </c>
      <c r="H5" t="s">
        <v>73</v>
      </c>
      <c r="J5" t="s">
        <v>74</v>
      </c>
      <c r="L5" t="s">
        <v>75</v>
      </c>
      <c r="M5" t="s">
        <v>30</v>
      </c>
    </row>
    <row r="6" spans="1:65" x14ac:dyDescent="0.25">
      <c r="B6" t="s">
        <v>14</v>
      </c>
      <c r="D6" t="s">
        <v>60</v>
      </c>
      <c r="E6" t="s">
        <v>76</v>
      </c>
      <c r="F6" t="s">
        <v>77</v>
      </c>
      <c r="G6" t="s">
        <v>18</v>
      </c>
      <c r="H6" t="s">
        <v>78</v>
      </c>
      <c r="J6" t="s">
        <v>21</v>
      </c>
      <c r="L6" t="s">
        <v>64</v>
      </c>
      <c r="M6" t="s">
        <v>49</v>
      </c>
    </row>
    <row r="7" spans="1:65" x14ac:dyDescent="0.25">
      <c r="B7" t="s">
        <v>14</v>
      </c>
      <c r="C7" t="s">
        <v>124</v>
      </c>
      <c r="D7" t="s">
        <v>60</v>
      </c>
      <c r="E7" t="s">
        <v>79</v>
      </c>
      <c r="F7" t="s">
        <v>80</v>
      </c>
      <c r="G7" t="s">
        <v>56</v>
      </c>
      <c r="H7" t="s">
        <v>81</v>
      </c>
      <c r="I7" t="s">
        <v>20</v>
      </c>
      <c r="J7" t="s">
        <v>21</v>
      </c>
      <c r="L7" t="s">
        <v>82</v>
      </c>
      <c r="M7" t="s">
        <v>49</v>
      </c>
    </row>
    <row r="8" spans="1:65" x14ac:dyDescent="0.25">
      <c r="B8" t="s">
        <v>14</v>
      </c>
      <c r="D8" t="s">
        <v>60</v>
      </c>
      <c r="E8" t="s">
        <v>83</v>
      </c>
      <c r="F8" t="s">
        <v>84</v>
      </c>
      <c r="G8" t="s">
        <v>46</v>
      </c>
      <c r="H8" t="s">
        <v>85</v>
      </c>
      <c r="J8" t="s">
        <v>21</v>
      </c>
      <c r="L8" t="s">
        <v>86</v>
      </c>
      <c r="M8" t="s">
        <v>23</v>
      </c>
    </row>
    <row r="9" spans="1:65" x14ac:dyDescent="0.25">
      <c r="B9" t="s">
        <v>14</v>
      </c>
      <c r="C9" t="s">
        <v>124</v>
      </c>
      <c r="D9" t="s">
        <v>60</v>
      </c>
      <c r="E9" t="s">
        <v>87</v>
      </c>
      <c r="F9" t="s">
        <v>88</v>
      </c>
      <c r="G9" t="s">
        <v>46</v>
      </c>
      <c r="H9" t="s">
        <v>89</v>
      </c>
      <c r="I9" t="s">
        <v>20</v>
      </c>
      <c r="J9" t="s">
        <v>42</v>
      </c>
      <c r="L9" t="s">
        <v>90</v>
      </c>
      <c r="M9" t="s">
        <v>91</v>
      </c>
    </row>
    <row r="15" spans="1:65" x14ac:dyDescent="0.25">
      <c r="J15" t="s">
        <v>126</v>
      </c>
    </row>
    <row r="21" spans="6:6" x14ac:dyDescent="0.25">
      <c r="F21" t="s">
        <v>129</v>
      </c>
    </row>
  </sheetData>
  <conditionalFormatting sqref="F1">
    <cfRule type="cellIs" dxfId="19" priority="9" operator="equal">
      <formula>"Filter aktiv"</formula>
    </cfRule>
    <cfRule type="cellIs" dxfId="18" priority="10" operator="equal">
      <formula>"Kein Filter aktiv"</formula>
    </cfRule>
  </conditionalFormatting>
  <conditionalFormatting sqref="E1">
    <cfRule type="containsText" dxfId="17" priority="4" operator="containsText" text="ESH">
      <formula>NOT(ISERROR(SEARCH("ESH",E1)))</formula>
    </cfRule>
    <cfRule type="containsText" dxfId="16" priority="5" operator="containsText" text="ES">
      <formula>NOT(ISERROR(SEARCH("ES",E1)))</formula>
    </cfRule>
  </conditionalFormatting>
  <conditionalFormatting sqref="D1">
    <cfRule type="containsText" dxfId="15" priority="6" operator="containsText" text="X">
      <formula>NOT(ISERROR(SEARCH("X",D1)))</formula>
    </cfRule>
    <cfRule type="containsText" dxfId="14" priority="7" operator="containsText" text="B">
      <formula>NOT(ISERROR(SEARCH("B",D1)))</formula>
    </cfRule>
    <cfRule type="containsText" dxfId="13" priority="8" operator="containsText" text="F">
      <formula>NOT(ISERROR(SEARCH("F",D1)))</formula>
    </cfRule>
  </conditionalFormatting>
  <conditionalFormatting sqref="AW2">
    <cfRule type="cellIs" dxfId="12" priority="3" operator="greaterThanOrEqual">
      <formula>6</formula>
    </cfRule>
  </conditionalFormatting>
  <conditionalFormatting sqref="E2">
    <cfRule type="cellIs" dxfId="11" priority="1" operator="equal">
      <formula>"Filter aktiv"</formula>
    </cfRule>
    <cfRule type="cellIs" dxfId="10" priority="2" operator="equal">
      <formula>"Kein Filter aktiv"</formula>
    </cfRule>
  </conditionalFormatting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048F93-A49B-400A-8412-A1AABEE6B7C2}">
  <sheetPr codeName="Tabelle3"/>
  <dimension ref="A1:BM998"/>
  <sheetViews>
    <sheetView zoomScale="55" zoomScaleNormal="55" workbookViewId="0">
      <selection activeCell="N1" sqref="N1"/>
    </sheetView>
  </sheetViews>
  <sheetFormatPr baseColWidth="10" defaultRowHeight="15" x14ac:dyDescent="0.25"/>
  <cols>
    <col min="5" max="5" width="20.5703125" customWidth="1"/>
    <col min="10" max="10" width="45.42578125" customWidth="1"/>
    <col min="11" max="11" width="25.140625" customWidth="1"/>
    <col min="13" max="13" width="49" customWidth="1"/>
    <col min="14" max="14" width="17.140625" customWidth="1"/>
  </cols>
  <sheetData>
    <row r="1" spans="1:65" ht="47.25" x14ac:dyDescent="0.25">
      <c r="A1" s="10" t="s">
        <v>11</v>
      </c>
      <c r="B1" s="11" t="s">
        <v>5</v>
      </c>
      <c r="C1" s="12" t="s">
        <v>12</v>
      </c>
      <c r="D1" s="2" t="s">
        <v>6</v>
      </c>
      <c r="E1" s="13" t="s">
        <v>7</v>
      </c>
      <c r="F1" s="14" t="s">
        <v>8</v>
      </c>
      <c r="G1" s="15" t="s">
        <v>9</v>
      </c>
      <c r="H1" s="16" t="s">
        <v>10</v>
      </c>
      <c r="I1" s="19" t="s">
        <v>13</v>
      </c>
      <c r="J1" s="16" t="s">
        <v>2</v>
      </c>
      <c r="K1" s="20" t="s">
        <v>125</v>
      </c>
      <c r="L1" s="17" t="s">
        <v>1</v>
      </c>
      <c r="M1" s="18" t="s">
        <v>0</v>
      </c>
      <c r="N1" t="s">
        <v>128</v>
      </c>
    </row>
    <row r="2" spans="1:65" s="1" customFormat="1" ht="60.75" customHeight="1" x14ac:dyDescent="0.25">
      <c r="E2" s="3" t="str">
        <f>IF((SUBTOTAL(3,$J:$J)&lt;&gt;COUNTA($J:$J))=FALSE,"Kein Filter aktiv","Filter aktiv")</f>
        <v>Kein Filter aktiv</v>
      </c>
      <c r="O2" s="2"/>
      <c r="P2" s="2"/>
      <c r="Q2" s="2"/>
      <c r="R2" s="4"/>
      <c r="S2" s="4"/>
      <c r="T2" s="4"/>
      <c r="U2" s="3"/>
      <c r="V2" s="3"/>
      <c r="W2" s="2"/>
      <c r="X2" s="2"/>
      <c r="Y2" s="2"/>
      <c r="Z2" s="2"/>
      <c r="AA2" s="2"/>
      <c r="AB2" s="2"/>
      <c r="AC2" s="2"/>
      <c r="AD2" s="2"/>
      <c r="AE2" s="2"/>
      <c r="AF2" s="3"/>
      <c r="AG2" s="3"/>
      <c r="AH2" s="3"/>
      <c r="AI2" s="3"/>
      <c r="AJ2" s="4"/>
      <c r="AK2" s="2"/>
      <c r="AL2" s="3"/>
      <c r="AM2" s="3"/>
      <c r="AN2" s="3"/>
      <c r="AO2" s="3"/>
      <c r="AP2" s="3"/>
      <c r="AQ2" s="3"/>
      <c r="AR2" s="4" t="s">
        <v>3</v>
      </c>
      <c r="AS2" s="5"/>
      <c r="AT2" s="6"/>
      <c r="AU2" s="7"/>
      <c r="AV2" s="8"/>
      <c r="AW2" s="3"/>
      <c r="AX2" s="3"/>
      <c r="AY2" s="3"/>
      <c r="AZ2" s="3"/>
      <c r="BA2" s="3" t="s">
        <v>4</v>
      </c>
      <c r="BB2" s="3"/>
      <c r="BC2" s="3"/>
      <c r="BD2" s="3"/>
      <c r="BE2" s="3"/>
      <c r="BF2" s="3"/>
      <c r="BG2" s="3"/>
      <c r="BH2" s="3"/>
      <c r="BM2" s="9"/>
    </row>
    <row r="3" spans="1:65" ht="60" customHeight="1" x14ac:dyDescent="0.25">
      <c r="B3" t="s">
        <v>14</v>
      </c>
      <c r="C3" t="s">
        <v>124</v>
      </c>
      <c r="D3" t="s">
        <v>15</v>
      </c>
      <c r="E3" t="s">
        <v>16</v>
      </c>
      <c r="F3" t="s">
        <v>17</v>
      </c>
      <c r="G3" t="s">
        <v>18</v>
      </c>
      <c r="H3" t="s">
        <v>19</v>
      </c>
      <c r="I3" t="s">
        <v>20</v>
      </c>
      <c r="J3" t="s">
        <v>21</v>
      </c>
      <c r="L3" t="s">
        <v>22</v>
      </c>
      <c r="M3" t="s">
        <v>23</v>
      </c>
    </row>
    <row r="4" spans="1:65" ht="60" customHeight="1" x14ac:dyDescent="0.25">
      <c r="B4" t="s">
        <v>14</v>
      </c>
      <c r="C4" t="s">
        <v>124</v>
      </c>
      <c r="D4" t="s">
        <v>15</v>
      </c>
      <c r="E4" t="s">
        <v>24</v>
      </c>
      <c r="F4" t="s">
        <v>25</v>
      </c>
      <c r="G4" t="s">
        <v>26</v>
      </c>
      <c r="H4" t="s">
        <v>27</v>
      </c>
      <c r="I4" t="s">
        <v>20</v>
      </c>
      <c r="J4" t="s">
        <v>28</v>
      </c>
      <c r="L4" t="s">
        <v>29</v>
      </c>
      <c r="M4" t="s">
        <v>30</v>
      </c>
    </row>
    <row r="5" spans="1:65" ht="60" customHeight="1" x14ac:dyDescent="0.25">
      <c r="B5" t="s">
        <v>14</v>
      </c>
      <c r="C5" t="s">
        <v>124</v>
      </c>
      <c r="D5" t="s">
        <v>15</v>
      </c>
      <c r="E5" t="s">
        <v>31</v>
      </c>
      <c r="F5" t="s">
        <v>32</v>
      </c>
      <c r="G5" t="s">
        <v>33</v>
      </c>
      <c r="H5" t="s">
        <v>34</v>
      </c>
      <c r="I5" t="s">
        <v>20</v>
      </c>
      <c r="J5" t="s">
        <v>35</v>
      </c>
      <c r="L5" t="s">
        <v>36</v>
      </c>
      <c r="M5" t="s">
        <v>37</v>
      </c>
    </row>
    <row r="6" spans="1:65" ht="60" customHeight="1" x14ac:dyDescent="0.25">
      <c r="B6" t="s">
        <v>14</v>
      </c>
      <c r="C6" t="s">
        <v>124</v>
      </c>
      <c r="D6" t="s">
        <v>15</v>
      </c>
      <c r="E6" t="s">
        <v>38</v>
      </c>
      <c r="F6" t="s">
        <v>39</v>
      </c>
      <c r="G6" t="s">
        <v>40</v>
      </c>
      <c r="H6" t="s">
        <v>41</v>
      </c>
      <c r="I6" t="s">
        <v>20</v>
      </c>
      <c r="J6" t="s">
        <v>42</v>
      </c>
      <c r="L6" t="s">
        <v>43</v>
      </c>
      <c r="M6" t="s">
        <v>30</v>
      </c>
    </row>
    <row r="7" spans="1:65" ht="60" customHeight="1" x14ac:dyDescent="0.25">
      <c r="B7" t="s">
        <v>14</v>
      </c>
      <c r="D7" t="s">
        <v>15</v>
      </c>
      <c r="E7" t="s">
        <v>44</v>
      </c>
      <c r="F7" t="s">
        <v>45</v>
      </c>
      <c r="G7" t="s">
        <v>46</v>
      </c>
      <c r="H7" t="s">
        <v>47</v>
      </c>
      <c r="J7" t="s">
        <v>35</v>
      </c>
      <c r="L7" t="s">
        <v>48</v>
      </c>
      <c r="M7" t="s">
        <v>49</v>
      </c>
    </row>
    <row r="8" spans="1:65" ht="60" customHeight="1" x14ac:dyDescent="0.25">
      <c r="B8" t="s">
        <v>14</v>
      </c>
      <c r="C8" t="s">
        <v>124</v>
      </c>
      <c r="D8" t="s">
        <v>15</v>
      </c>
      <c r="E8" t="s">
        <v>50</v>
      </c>
      <c r="F8" t="s">
        <v>51</v>
      </c>
      <c r="G8" t="s">
        <v>40</v>
      </c>
      <c r="H8" t="s">
        <v>52</v>
      </c>
      <c r="I8" t="s">
        <v>20</v>
      </c>
      <c r="J8" t="s">
        <v>35</v>
      </c>
      <c r="L8" t="s">
        <v>53</v>
      </c>
      <c r="M8" t="s">
        <v>49</v>
      </c>
    </row>
    <row r="9" spans="1:65" ht="60" customHeight="1" x14ac:dyDescent="0.25">
      <c r="B9" t="s">
        <v>14</v>
      </c>
      <c r="D9" t="s">
        <v>15</v>
      </c>
      <c r="E9" t="s">
        <v>54</v>
      </c>
      <c r="F9" t="s">
        <v>55</v>
      </c>
      <c r="G9" t="s">
        <v>56</v>
      </c>
      <c r="H9" t="s">
        <v>57</v>
      </c>
      <c r="J9" t="s">
        <v>21</v>
      </c>
      <c r="L9" t="s">
        <v>58</v>
      </c>
      <c r="M9" t="s">
        <v>59</v>
      </c>
    </row>
    <row r="10" spans="1:65" ht="60" customHeight="1" x14ac:dyDescent="0.25"/>
    <row r="11" spans="1:65" ht="60" customHeight="1" x14ac:dyDescent="0.25"/>
    <row r="12" spans="1:65" ht="60" customHeight="1" x14ac:dyDescent="0.25"/>
    <row r="13" spans="1:65" ht="60" customHeight="1" x14ac:dyDescent="0.25"/>
    <row r="14" spans="1:65" ht="60" customHeight="1" x14ac:dyDescent="0.25"/>
    <row r="15" spans="1:65" ht="60" customHeight="1" x14ac:dyDescent="0.25"/>
    <row r="16" spans="1:65" ht="60" customHeight="1" x14ac:dyDescent="0.25"/>
    <row r="17" ht="60" customHeight="1" x14ac:dyDescent="0.25"/>
    <row r="18" ht="60" customHeight="1" x14ac:dyDescent="0.25"/>
    <row r="19" ht="60" customHeight="1" x14ac:dyDescent="0.25"/>
    <row r="20" ht="60" customHeight="1" x14ac:dyDescent="0.25"/>
    <row r="21" ht="60" customHeight="1" x14ac:dyDescent="0.25"/>
    <row r="22" ht="60" customHeight="1" x14ac:dyDescent="0.25"/>
    <row r="23" ht="60" customHeight="1" x14ac:dyDescent="0.25"/>
    <row r="24" ht="60" customHeight="1" x14ac:dyDescent="0.25"/>
    <row r="25" ht="60" customHeight="1" x14ac:dyDescent="0.25"/>
    <row r="26" ht="60" customHeight="1" x14ac:dyDescent="0.25"/>
    <row r="27" ht="60" customHeight="1" x14ac:dyDescent="0.25"/>
    <row r="28" ht="60" customHeight="1" x14ac:dyDescent="0.25"/>
    <row r="29" ht="60" customHeight="1" x14ac:dyDescent="0.25"/>
    <row r="30" ht="60" customHeight="1" x14ac:dyDescent="0.25"/>
    <row r="31" ht="60" customHeight="1" x14ac:dyDescent="0.25"/>
    <row r="32" ht="60" customHeight="1" x14ac:dyDescent="0.25"/>
    <row r="33" ht="60" customHeight="1" x14ac:dyDescent="0.25"/>
    <row r="34" ht="60" customHeight="1" x14ac:dyDescent="0.25"/>
    <row r="35" ht="60" customHeight="1" x14ac:dyDescent="0.25"/>
    <row r="36" ht="60" customHeight="1" x14ac:dyDescent="0.25"/>
    <row r="37" ht="60" customHeight="1" x14ac:dyDescent="0.25"/>
    <row r="38" ht="60" customHeight="1" x14ac:dyDescent="0.25"/>
    <row r="39" ht="60" customHeight="1" x14ac:dyDescent="0.25"/>
    <row r="40" ht="60" customHeight="1" x14ac:dyDescent="0.25"/>
    <row r="41" ht="60" customHeight="1" x14ac:dyDescent="0.25"/>
    <row r="42" ht="60" customHeight="1" x14ac:dyDescent="0.25"/>
    <row r="43" ht="60" customHeight="1" x14ac:dyDescent="0.25"/>
    <row r="44" ht="60" customHeight="1" x14ac:dyDescent="0.25"/>
    <row r="45" ht="60" customHeight="1" x14ac:dyDescent="0.25"/>
    <row r="46" ht="60" customHeight="1" x14ac:dyDescent="0.25"/>
    <row r="47" ht="60" customHeight="1" x14ac:dyDescent="0.25"/>
    <row r="48" ht="60" customHeight="1" x14ac:dyDescent="0.25"/>
    <row r="49" ht="60" customHeight="1" x14ac:dyDescent="0.25"/>
    <row r="50" ht="60" customHeight="1" x14ac:dyDescent="0.25"/>
    <row r="51" ht="60" customHeight="1" x14ac:dyDescent="0.25"/>
    <row r="52" ht="60" customHeight="1" x14ac:dyDescent="0.25"/>
    <row r="53" ht="60" customHeight="1" x14ac:dyDescent="0.25"/>
    <row r="54" ht="60" customHeight="1" x14ac:dyDescent="0.25"/>
    <row r="55" ht="60" customHeight="1" x14ac:dyDescent="0.25"/>
    <row r="56" ht="60" customHeight="1" x14ac:dyDescent="0.25"/>
    <row r="57" ht="60" customHeight="1" x14ac:dyDescent="0.25"/>
    <row r="58" ht="60" customHeight="1" x14ac:dyDescent="0.25"/>
    <row r="59" ht="60" customHeight="1" x14ac:dyDescent="0.25"/>
    <row r="60" ht="60" customHeight="1" x14ac:dyDescent="0.25"/>
    <row r="61" ht="60" customHeight="1" x14ac:dyDescent="0.25"/>
    <row r="62" ht="60" customHeight="1" x14ac:dyDescent="0.25"/>
    <row r="63" ht="60" customHeight="1" x14ac:dyDescent="0.25"/>
    <row r="64" ht="60" customHeight="1" x14ac:dyDescent="0.25"/>
    <row r="65" ht="60" customHeight="1" x14ac:dyDescent="0.25"/>
    <row r="66" ht="60" customHeight="1" x14ac:dyDescent="0.25"/>
    <row r="67" ht="60" customHeight="1" x14ac:dyDescent="0.25"/>
    <row r="68" ht="60" customHeight="1" x14ac:dyDescent="0.25"/>
    <row r="69" ht="60" customHeight="1" x14ac:dyDescent="0.25"/>
    <row r="70" ht="60" customHeight="1" x14ac:dyDescent="0.25"/>
    <row r="71" ht="60" customHeight="1" x14ac:dyDescent="0.25"/>
    <row r="72" ht="60" customHeight="1" x14ac:dyDescent="0.25"/>
    <row r="73" ht="60" customHeight="1" x14ac:dyDescent="0.25"/>
    <row r="74" ht="60" customHeight="1" x14ac:dyDescent="0.25"/>
    <row r="75" ht="60" customHeight="1" x14ac:dyDescent="0.25"/>
    <row r="76" ht="60" customHeight="1" x14ac:dyDescent="0.25"/>
    <row r="77" ht="60" customHeight="1" x14ac:dyDescent="0.25"/>
    <row r="78" ht="60" customHeight="1" x14ac:dyDescent="0.25"/>
    <row r="79" ht="60" customHeight="1" x14ac:dyDescent="0.25"/>
    <row r="80" ht="60" customHeight="1" x14ac:dyDescent="0.25"/>
    <row r="81" ht="60" customHeight="1" x14ac:dyDescent="0.25"/>
    <row r="82" ht="60" customHeight="1" x14ac:dyDescent="0.25"/>
    <row r="83" ht="60" customHeight="1" x14ac:dyDescent="0.25"/>
    <row r="84" ht="60" customHeight="1" x14ac:dyDescent="0.25"/>
    <row r="85" ht="60" customHeight="1" x14ac:dyDescent="0.25"/>
    <row r="86" ht="60" customHeight="1" x14ac:dyDescent="0.25"/>
    <row r="87" ht="60" customHeight="1" x14ac:dyDescent="0.25"/>
    <row r="88" ht="60" customHeight="1" x14ac:dyDescent="0.25"/>
    <row r="89" ht="60" customHeight="1" x14ac:dyDescent="0.25"/>
    <row r="90" ht="60" customHeight="1" x14ac:dyDescent="0.25"/>
    <row r="91" ht="60" customHeight="1" x14ac:dyDescent="0.25"/>
    <row r="92" ht="60" customHeight="1" x14ac:dyDescent="0.25"/>
    <row r="93" ht="60" customHeight="1" x14ac:dyDescent="0.25"/>
    <row r="94" ht="60" customHeight="1" x14ac:dyDescent="0.25"/>
    <row r="95" ht="60" customHeight="1" x14ac:dyDescent="0.25"/>
    <row r="96" ht="60" customHeight="1" x14ac:dyDescent="0.25"/>
    <row r="97" ht="60" customHeight="1" x14ac:dyDescent="0.25"/>
    <row r="98" ht="60" customHeight="1" x14ac:dyDescent="0.25"/>
    <row r="99" ht="60" customHeight="1" x14ac:dyDescent="0.25"/>
    <row r="100" ht="60" customHeight="1" x14ac:dyDescent="0.25"/>
    <row r="101" ht="60" customHeight="1" x14ac:dyDescent="0.25"/>
    <row r="102" ht="60" customHeight="1" x14ac:dyDescent="0.25"/>
    <row r="103" ht="60" customHeight="1" x14ac:dyDescent="0.25"/>
    <row r="104" ht="60" customHeight="1" x14ac:dyDescent="0.25"/>
    <row r="105" ht="60" customHeight="1" x14ac:dyDescent="0.25"/>
    <row r="106" ht="60" customHeight="1" x14ac:dyDescent="0.25"/>
    <row r="107" ht="60" customHeight="1" x14ac:dyDescent="0.25"/>
    <row r="108" ht="60" customHeight="1" x14ac:dyDescent="0.25"/>
    <row r="109" ht="60" customHeight="1" x14ac:dyDescent="0.25"/>
    <row r="110" ht="60" customHeight="1" x14ac:dyDescent="0.25"/>
    <row r="111" ht="60" customHeight="1" x14ac:dyDescent="0.25"/>
    <row r="112" ht="60" customHeight="1" x14ac:dyDescent="0.25"/>
    <row r="113" ht="60" customHeight="1" x14ac:dyDescent="0.25"/>
    <row r="114" ht="60" customHeight="1" x14ac:dyDescent="0.25"/>
    <row r="115" ht="60" customHeight="1" x14ac:dyDescent="0.25"/>
    <row r="116" ht="60" customHeight="1" x14ac:dyDescent="0.25"/>
    <row r="117" ht="60" customHeight="1" x14ac:dyDescent="0.25"/>
    <row r="118" ht="60" customHeight="1" x14ac:dyDescent="0.25"/>
    <row r="119" ht="60" customHeight="1" x14ac:dyDescent="0.25"/>
    <row r="120" ht="60" customHeight="1" x14ac:dyDescent="0.25"/>
    <row r="121" ht="60" customHeight="1" x14ac:dyDescent="0.25"/>
    <row r="122" ht="60" customHeight="1" x14ac:dyDescent="0.25"/>
    <row r="123" ht="60" customHeight="1" x14ac:dyDescent="0.25"/>
    <row r="124" ht="60" customHeight="1" x14ac:dyDescent="0.25"/>
    <row r="125" ht="60" customHeight="1" x14ac:dyDescent="0.25"/>
    <row r="126" ht="60" customHeight="1" x14ac:dyDescent="0.25"/>
    <row r="127" ht="60" customHeight="1" x14ac:dyDescent="0.25"/>
    <row r="128" ht="60" customHeight="1" x14ac:dyDescent="0.25"/>
    <row r="129" ht="60" customHeight="1" x14ac:dyDescent="0.25"/>
    <row r="130" ht="60" customHeight="1" x14ac:dyDescent="0.25"/>
    <row r="131" ht="60" customHeight="1" x14ac:dyDescent="0.25"/>
    <row r="132" ht="60" customHeight="1" x14ac:dyDescent="0.25"/>
    <row r="133" ht="60" customHeight="1" x14ac:dyDescent="0.25"/>
    <row r="134" ht="60" customHeight="1" x14ac:dyDescent="0.25"/>
    <row r="135" ht="60" customHeight="1" x14ac:dyDescent="0.25"/>
    <row r="136" ht="60" customHeight="1" x14ac:dyDescent="0.25"/>
    <row r="137" ht="60" customHeight="1" x14ac:dyDescent="0.25"/>
    <row r="138" ht="60" customHeight="1" x14ac:dyDescent="0.25"/>
    <row r="139" ht="60" customHeight="1" x14ac:dyDescent="0.25"/>
    <row r="140" ht="60" customHeight="1" x14ac:dyDescent="0.25"/>
    <row r="141" ht="60" customHeight="1" x14ac:dyDescent="0.25"/>
    <row r="142" ht="60" customHeight="1" x14ac:dyDescent="0.25"/>
    <row r="143" ht="60" customHeight="1" x14ac:dyDescent="0.25"/>
    <row r="144" ht="60" customHeight="1" x14ac:dyDescent="0.25"/>
    <row r="145" ht="60" customHeight="1" x14ac:dyDescent="0.25"/>
    <row r="146" ht="60" customHeight="1" x14ac:dyDescent="0.25"/>
    <row r="147" ht="60" customHeight="1" x14ac:dyDescent="0.25"/>
    <row r="148" ht="60" customHeight="1" x14ac:dyDescent="0.25"/>
    <row r="149" ht="60" customHeight="1" x14ac:dyDescent="0.25"/>
    <row r="150" ht="60" customHeight="1" x14ac:dyDescent="0.25"/>
    <row r="151" ht="60" customHeight="1" x14ac:dyDescent="0.25"/>
    <row r="152" ht="60" customHeight="1" x14ac:dyDescent="0.25"/>
    <row r="153" ht="60" customHeight="1" x14ac:dyDescent="0.25"/>
    <row r="154" ht="60" customHeight="1" x14ac:dyDescent="0.25"/>
    <row r="155" ht="60" customHeight="1" x14ac:dyDescent="0.25"/>
    <row r="156" ht="60" customHeight="1" x14ac:dyDescent="0.25"/>
    <row r="157" ht="60" customHeight="1" x14ac:dyDescent="0.25"/>
    <row r="158" ht="60" customHeight="1" x14ac:dyDescent="0.25"/>
    <row r="159" ht="60" customHeight="1" x14ac:dyDescent="0.25"/>
    <row r="160" ht="60" customHeight="1" x14ac:dyDescent="0.25"/>
    <row r="161" ht="60" customHeight="1" x14ac:dyDescent="0.25"/>
    <row r="162" ht="60" customHeight="1" x14ac:dyDescent="0.25"/>
    <row r="163" ht="60" customHeight="1" x14ac:dyDescent="0.25"/>
    <row r="164" ht="60" customHeight="1" x14ac:dyDescent="0.25"/>
    <row r="165" ht="60" customHeight="1" x14ac:dyDescent="0.25"/>
    <row r="166" ht="60" customHeight="1" x14ac:dyDescent="0.25"/>
    <row r="167" ht="60" customHeight="1" x14ac:dyDescent="0.25"/>
    <row r="168" ht="60" customHeight="1" x14ac:dyDescent="0.25"/>
    <row r="169" ht="60" customHeight="1" x14ac:dyDescent="0.25"/>
    <row r="170" ht="60" customHeight="1" x14ac:dyDescent="0.25"/>
    <row r="171" ht="60" customHeight="1" x14ac:dyDescent="0.25"/>
    <row r="172" ht="60" customHeight="1" x14ac:dyDescent="0.25"/>
    <row r="173" ht="60" customHeight="1" x14ac:dyDescent="0.25"/>
    <row r="174" ht="60" customHeight="1" x14ac:dyDescent="0.25"/>
    <row r="175" ht="60" customHeight="1" x14ac:dyDescent="0.25"/>
    <row r="176" ht="60" customHeight="1" x14ac:dyDescent="0.25"/>
    <row r="177" ht="60" customHeight="1" x14ac:dyDescent="0.25"/>
    <row r="178" ht="60" customHeight="1" x14ac:dyDescent="0.25"/>
    <row r="179" ht="60" customHeight="1" x14ac:dyDescent="0.25"/>
    <row r="180" ht="60" customHeight="1" x14ac:dyDescent="0.25"/>
    <row r="181" ht="60" customHeight="1" x14ac:dyDescent="0.25"/>
    <row r="182" ht="60" customHeight="1" x14ac:dyDescent="0.25"/>
    <row r="183" ht="60" customHeight="1" x14ac:dyDescent="0.25"/>
    <row r="184" ht="60" customHeight="1" x14ac:dyDescent="0.25"/>
    <row r="185" ht="60" customHeight="1" x14ac:dyDescent="0.25"/>
    <row r="186" ht="60" customHeight="1" x14ac:dyDescent="0.25"/>
    <row r="187" ht="60" customHeight="1" x14ac:dyDescent="0.25"/>
    <row r="188" ht="60" customHeight="1" x14ac:dyDescent="0.25"/>
    <row r="189" ht="60" customHeight="1" x14ac:dyDescent="0.25"/>
    <row r="190" ht="60" customHeight="1" x14ac:dyDescent="0.25"/>
    <row r="191" ht="60" customHeight="1" x14ac:dyDescent="0.25"/>
    <row r="192" ht="60" customHeight="1" x14ac:dyDescent="0.25"/>
    <row r="193" ht="60" customHeight="1" x14ac:dyDescent="0.25"/>
    <row r="194" ht="60" customHeight="1" x14ac:dyDescent="0.25"/>
    <row r="195" ht="60" customHeight="1" x14ac:dyDescent="0.25"/>
    <row r="196" ht="60" customHeight="1" x14ac:dyDescent="0.25"/>
    <row r="197" ht="60" customHeight="1" x14ac:dyDescent="0.25"/>
    <row r="198" ht="60" customHeight="1" x14ac:dyDescent="0.25"/>
    <row r="199" ht="60" customHeight="1" x14ac:dyDescent="0.25"/>
    <row r="200" ht="60" customHeight="1" x14ac:dyDescent="0.25"/>
    <row r="201" ht="60" customHeight="1" x14ac:dyDescent="0.25"/>
    <row r="202" ht="60" customHeight="1" x14ac:dyDescent="0.25"/>
    <row r="203" ht="60" customHeight="1" x14ac:dyDescent="0.25"/>
    <row r="204" ht="60" customHeight="1" x14ac:dyDescent="0.25"/>
    <row r="205" ht="60" customHeight="1" x14ac:dyDescent="0.25"/>
    <row r="206" ht="60" customHeight="1" x14ac:dyDescent="0.25"/>
    <row r="207" ht="60" customHeight="1" x14ac:dyDescent="0.25"/>
    <row r="208" ht="60" customHeight="1" x14ac:dyDescent="0.25"/>
    <row r="209" ht="60" customHeight="1" x14ac:dyDescent="0.25"/>
    <row r="210" ht="60" customHeight="1" x14ac:dyDescent="0.25"/>
    <row r="211" ht="60" customHeight="1" x14ac:dyDescent="0.25"/>
    <row r="212" ht="60" customHeight="1" x14ac:dyDescent="0.25"/>
    <row r="213" ht="60" customHeight="1" x14ac:dyDescent="0.25"/>
    <row r="214" ht="60" customHeight="1" x14ac:dyDescent="0.25"/>
    <row r="215" ht="60" customHeight="1" x14ac:dyDescent="0.25"/>
    <row r="216" ht="60" customHeight="1" x14ac:dyDescent="0.25"/>
    <row r="217" ht="60" customHeight="1" x14ac:dyDescent="0.25"/>
    <row r="218" ht="60" customHeight="1" x14ac:dyDescent="0.25"/>
    <row r="219" ht="60" customHeight="1" x14ac:dyDescent="0.25"/>
    <row r="220" ht="60" customHeight="1" x14ac:dyDescent="0.25"/>
    <row r="221" ht="60" customHeight="1" x14ac:dyDescent="0.25"/>
    <row r="222" ht="60" customHeight="1" x14ac:dyDescent="0.25"/>
    <row r="223" ht="60" customHeight="1" x14ac:dyDescent="0.25"/>
    <row r="224" ht="60" customHeight="1" x14ac:dyDescent="0.25"/>
    <row r="225" ht="60" customHeight="1" x14ac:dyDescent="0.25"/>
    <row r="226" ht="60" customHeight="1" x14ac:dyDescent="0.25"/>
    <row r="227" ht="60" customHeight="1" x14ac:dyDescent="0.25"/>
    <row r="228" ht="60" customHeight="1" x14ac:dyDescent="0.25"/>
    <row r="229" ht="60" customHeight="1" x14ac:dyDescent="0.25"/>
    <row r="230" ht="60" customHeight="1" x14ac:dyDescent="0.25"/>
    <row r="231" ht="60" customHeight="1" x14ac:dyDescent="0.25"/>
    <row r="232" ht="60" customHeight="1" x14ac:dyDescent="0.25"/>
    <row r="233" ht="60" customHeight="1" x14ac:dyDescent="0.25"/>
    <row r="234" ht="60" customHeight="1" x14ac:dyDescent="0.25"/>
    <row r="235" ht="60" customHeight="1" x14ac:dyDescent="0.25"/>
    <row r="236" ht="60" customHeight="1" x14ac:dyDescent="0.25"/>
    <row r="237" ht="60" customHeight="1" x14ac:dyDescent="0.25"/>
    <row r="238" ht="60" customHeight="1" x14ac:dyDescent="0.25"/>
    <row r="239" ht="60" customHeight="1" x14ac:dyDescent="0.25"/>
    <row r="240" ht="60" customHeight="1" x14ac:dyDescent="0.25"/>
    <row r="241" ht="60" customHeight="1" x14ac:dyDescent="0.25"/>
    <row r="242" ht="60" customHeight="1" x14ac:dyDescent="0.25"/>
    <row r="243" ht="60" customHeight="1" x14ac:dyDescent="0.25"/>
    <row r="244" ht="60" customHeight="1" x14ac:dyDescent="0.25"/>
    <row r="245" ht="60" customHeight="1" x14ac:dyDescent="0.25"/>
    <row r="246" ht="60" customHeight="1" x14ac:dyDescent="0.25"/>
    <row r="247" ht="60" customHeight="1" x14ac:dyDescent="0.25"/>
    <row r="248" ht="60" customHeight="1" x14ac:dyDescent="0.25"/>
    <row r="249" ht="60" customHeight="1" x14ac:dyDescent="0.25"/>
    <row r="250" ht="60" customHeight="1" x14ac:dyDescent="0.25"/>
    <row r="251" ht="60" customHeight="1" x14ac:dyDescent="0.25"/>
    <row r="252" ht="60" customHeight="1" x14ac:dyDescent="0.25"/>
    <row r="253" ht="60" customHeight="1" x14ac:dyDescent="0.25"/>
    <row r="254" ht="60" customHeight="1" x14ac:dyDescent="0.25"/>
    <row r="255" ht="60" customHeight="1" x14ac:dyDescent="0.25"/>
    <row r="256" ht="60" customHeight="1" x14ac:dyDescent="0.25"/>
    <row r="257" ht="60" customHeight="1" x14ac:dyDescent="0.25"/>
    <row r="258" ht="60" customHeight="1" x14ac:dyDescent="0.25"/>
    <row r="259" ht="60" customHeight="1" x14ac:dyDescent="0.25"/>
    <row r="260" ht="60" customHeight="1" x14ac:dyDescent="0.25"/>
    <row r="261" ht="60" customHeight="1" x14ac:dyDescent="0.25"/>
    <row r="262" ht="60" customHeight="1" x14ac:dyDescent="0.25"/>
    <row r="263" ht="60" customHeight="1" x14ac:dyDescent="0.25"/>
    <row r="264" ht="60" customHeight="1" x14ac:dyDescent="0.25"/>
    <row r="265" ht="60" customHeight="1" x14ac:dyDescent="0.25"/>
    <row r="266" ht="60" customHeight="1" x14ac:dyDescent="0.25"/>
    <row r="267" ht="60" customHeight="1" x14ac:dyDescent="0.25"/>
    <row r="268" ht="60" customHeight="1" x14ac:dyDescent="0.25"/>
    <row r="269" ht="60" customHeight="1" x14ac:dyDescent="0.25"/>
    <row r="270" ht="60" customHeight="1" x14ac:dyDescent="0.25"/>
    <row r="271" ht="60" customHeight="1" x14ac:dyDescent="0.25"/>
    <row r="272" ht="60" customHeight="1" x14ac:dyDescent="0.25"/>
    <row r="273" ht="60" customHeight="1" x14ac:dyDescent="0.25"/>
    <row r="274" ht="60" customHeight="1" x14ac:dyDescent="0.25"/>
    <row r="275" ht="60" customHeight="1" x14ac:dyDescent="0.25"/>
    <row r="276" ht="60" customHeight="1" x14ac:dyDescent="0.25"/>
    <row r="277" ht="60" customHeight="1" x14ac:dyDescent="0.25"/>
    <row r="278" ht="60" customHeight="1" x14ac:dyDescent="0.25"/>
    <row r="279" ht="60" customHeight="1" x14ac:dyDescent="0.25"/>
    <row r="280" ht="60" customHeight="1" x14ac:dyDescent="0.25"/>
    <row r="281" ht="60" customHeight="1" x14ac:dyDescent="0.25"/>
    <row r="282" ht="60" customHeight="1" x14ac:dyDescent="0.25"/>
    <row r="283" ht="60" customHeight="1" x14ac:dyDescent="0.25"/>
    <row r="284" ht="60" customHeight="1" x14ac:dyDescent="0.25"/>
    <row r="285" ht="60" customHeight="1" x14ac:dyDescent="0.25"/>
    <row r="286" ht="60" customHeight="1" x14ac:dyDescent="0.25"/>
    <row r="287" ht="60" customHeight="1" x14ac:dyDescent="0.25"/>
    <row r="288" ht="60" customHeight="1" x14ac:dyDescent="0.25"/>
    <row r="289" ht="60" customHeight="1" x14ac:dyDescent="0.25"/>
    <row r="290" ht="60" customHeight="1" x14ac:dyDescent="0.25"/>
    <row r="291" ht="60" customHeight="1" x14ac:dyDescent="0.25"/>
    <row r="292" ht="60" customHeight="1" x14ac:dyDescent="0.25"/>
    <row r="293" ht="60" customHeight="1" x14ac:dyDescent="0.25"/>
    <row r="294" ht="60" customHeight="1" x14ac:dyDescent="0.25"/>
    <row r="295" ht="60" customHeight="1" x14ac:dyDescent="0.25"/>
    <row r="296" ht="60" customHeight="1" x14ac:dyDescent="0.25"/>
    <row r="297" ht="60" customHeight="1" x14ac:dyDescent="0.25"/>
    <row r="298" ht="60" customHeight="1" x14ac:dyDescent="0.25"/>
    <row r="299" ht="60" customHeight="1" x14ac:dyDescent="0.25"/>
    <row r="300" ht="60" customHeight="1" x14ac:dyDescent="0.25"/>
    <row r="301" ht="60" customHeight="1" x14ac:dyDescent="0.25"/>
    <row r="302" ht="60" customHeight="1" x14ac:dyDescent="0.25"/>
    <row r="303" ht="60" customHeight="1" x14ac:dyDescent="0.25"/>
    <row r="304" ht="60" customHeight="1" x14ac:dyDescent="0.25"/>
    <row r="305" ht="60" customHeight="1" x14ac:dyDescent="0.25"/>
    <row r="306" ht="60" customHeight="1" x14ac:dyDescent="0.25"/>
    <row r="307" ht="60" customHeight="1" x14ac:dyDescent="0.25"/>
    <row r="308" ht="60" customHeight="1" x14ac:dyDescent="0.25"/>
    <row r="309" ht="60" customHeight="1" x14ac:dyDescent="0.25"/>
    <row r="310" ht="60" customHeight="1" x14ac:dyDescent="0.25"/>
    <row r="311" ht="60" customHeight="1" x14ac:dyDescent="0.25"/>
    <row r="312" ht="60" customHeight="1" x14ac:dyDescent="0.25"/>
    <row r="313" ht="60" customHeight="1" x14ac:dyDescent="0.25"/>
    <row r="314" ht="60" customHeight="1" x14ac:dyDescent="0.25"/>
    <row r="315" ht="60" customHeight="1" x14ac:dyDescent="0.25"/>
    <row r="316" ht="60" customHeight="1" x14ac:dyDescent="0.25"/>
    <row r="317" ht="60" customHeight="1" x14ac:dyDescent="0.25"/>
    <row r="318" ht="60" customHeight="1" x14ac:dyDescent="0.25"/>
    <row r="319" ht="60" customHeight="1" x14ac:dyDescent="0.25"/>
    <row r="320" ht="60" customHeight="1" x14ac:dyDescent="0.25"/>
    <row r="321" ht="60" customHeight="1" x14ac:dyDescent="0.25"/>
    <row r="322" ht="60" customHeight="1" x14ac:dyDescent="0.25"/>
    <row r="323" ht="60" customHeight="1" x14ac:dyDescent="0.25"/>
    <row r="324" ht="60" customHeight="1" x14ac:dyDescent="0.25"/>
    <row r="325" ht="60" customHeight="1" x14ac:dyDescent="0.25"/>
    <row r="326" ht="60" customHeight="1" x14ac:dyDescent="0.25"/>
    <row r="327" ht="60" customHeight="1" x14ac:dyDescent="0.25"/>
    <row r="328" ht="60" customHeight="1" x14ac:dyDescent="0.25"/>
    <row r="329" ht="60" customHeight="1" x14ac:dyDescent="0.25"/>
    <row r="330" ht="60" customHeight="1" x14ac:dyDescent="0.25"/>
    <row r="331" ht="60" customHeight="1" x14ac:dyDescent="0.25"/>
    <row r="332" ht="60" customHeight="1" x14ac:dyDescent="0.25"/>
    <row r="333" ht="60" customHeight="1" x14ac:dyDescent="0.25"/>
    <row r="334" ht="60" customHeight="1" x14ac:dyDescent="0.25"/>
    <row r="335" ht="60" customHeight="1" x14ac:dyDescent="0.25"/>
    <row r="336" ht="60" customHeight="1" x14ac:dyDescent="0.25"/>
    <row r="337" ht="60" customHeight="1" x14ac:dyDescent="0.25"/>
    <row r="338" ht="60" customHeight="1" x14ac:dyDescent="0.25"/>
    <row r="339" ht="60" customHeight="1" x14ac:dyDescent="0.25"/>
    <row r="340" ht="60" customHeight="1" x14ac:dyDescent="0.25"/>
    <row r="341" ht="60" customHeight="1" x14ac:dyDescent="0.25"/>
    <row r="342" ht="60" customHeight="1" x14ac:dyDescent="0.25"/>
    <row r="343" ht="60" customHeight="1" x14ac:dyDescent="0.25"/>
    <row r="344" ht="60" customHeight="1" x14ac:dyDescent="0.25"/>
    <row r="345" ht="60" customHeight="1" x14ac:dyDescent="0.25"/>
    <row r="346" ht="60" customHeight="1" x14ac:dyDescent="0.25"/>
    <row r="347" ht="60" customHeight="1" x14ac:dyDescent="0.25"/>
    <row r="348" ht="60" customHeight="1" x14ac:dyDescent="0.25"/>
    <row r="349" ht="60" customHeight="1" x14ac:dyDescent="0.25"/>
    <row r="350" ht="60" customHeight="1" x14ac:dyDescent="0.25"/>
    <row r="351" ht="60" customHeight="1" x14ac:dyDescent="0.25"/>
    <row r="352" ht="60" customHeight="1" x14ac:dyDescent="0.25"/>
    <row r="353" ht="60" customHeight="1" x14ac:dyDescent="0.25"/>
    <row r="354" ht="60" customHeight="1" x14ac:dyDescent="0.25"/>
    <row r="355" ht="60" customHeight="1" x14ac:dyDescent="0.25"/>
    <row r="356" ht="60" customHeight="1" x14ac:dyDescent="0.25"/>
    <row r="357" ht="60" customHeight="1" x14ac:dyDescent="0.25"/>
    <row r="358" ht="60" customHeight="1" x14ac:dyDescent="0.25"/>
    <row r="359" ht="60" customHeight="1" x14ac:dyDescent="0.25"/>
    <row r="360" ht="60" customHeight="1" x14ac:dyDescent="0.25"/>
    <row r="361" ht="60" customHeight="1" x14ac:dyDescent="0.25"/>
    <row r="362" ht="60" customHeight="1" x14ac:dyDescent="0.25"/>
    <row r="363" ht="60" customHeight="1" x14ac:dyDescent="0.25"/>
    <row r="364" ht="60" customHeight="1" x14ac:dyDescent="0.25"/>
    <row r="365" ht="60" customHeight="1" x14ac:dyDescent="0.25"/>
    <row r="366" ht="60" customHeight="1" x14ac:dyDescent="0.25"/>
    <row r="367" ht="60" customHeight="1" x14ac:dyDescent="0.25"/>
    <row r="368" ht="60" customHeight="1" x14ac:dyDescent="0.25"/>
    <row r="369" ht="60" customHeight="1" x14ac:dyDescent="0.25"/>
    <row r="370" ht="60" customHeight="1" x14ac:dyDescent="0.25"/>
    <row r="371" ht="60" customHeight="1" x14ac:dyDescent="0.25"/>
    <row r="372" ht="60" customHeight="1" x14ac:dyDescent="0.25"/>
    <row r="373" ht="60" customHeight="1" x14ac:dyDescent="0.25"/>
    <row r="374" ht="60" customHeight="1" x14ac:dyDescent="0.25"/>
    <row r="375" ht="60" customHeight="1" x14ac:dyDescent="0.25"/>
    <row r="376" ht="60" customHeight="1" x14ac:dyDescent="0.25"/>
    <row r="377" ht="60" customHeight="1" x14ac:dyDescent="0.25"/>
    <row r="378" ht="60" customHeight="1" x14ac:dyDescent="0.25"/>
    <row r="379" ht="60" customHeight="1" x14ac:dyDescent="0.25"/>
    <row r="380" ht="60" customHeight="1" x14ac:dyDescent="0.25"/>
    <row r="381" ht="60" customHeight="1" x14ac:dyDescent="0.25"/>
    <row r="382" ht="60" customHeight="1" x14ac:dyDescent="0.25"/>
    <row r="383" ht="60" customHeight="1" x14ac:dyDescent="0.25"/>
    <row r="384" ht="60" customHeight="1" x14ac:dyDescent="0.25"/>
    <row r="385" ht="60" customHeight="1" x14ac:dyDescent="0.25"/>
    <row r="386" ht="60" customHeight="1" x14ac:dyDescent="0.25"/>
    <row r="387" ht="60" customHeight="1" x14ac:dyDescent="0.25"/>
    <row r="388" ht="60" customHeight="1" x14ac:dyDescent="0.25"/>
    <row r="389" ht="60" customHeight="1" x14ac:dyDescent="0.25"/>
    <row r="390" ht="60" customHeight="1" x14ac:dyDescent="0.25"/>
    <row r="391" ht="60" customHeight="1" x14ac:dyDescent="0.25"/>
    <row r="392" ht="60" customHeight="1" x14ac:dyDescent="0.25"/>
    <row r="393" ht="60" customHeight="1" x14ac:dyDescent="0.25"/>
    <row r="394" ht="60" customHeight="1" x14ac:dyDescent="0.25"/>
    <row r="395" ht="60" customHeight="1" x14ac:dyDescent="0.25"/>
    <row r="396" ht="60" customHeight="1" x14ac:dyDescent="0.25"/>
    <row r="397" ht="60" customHeight="1" x14ac:dyDescent="0.25"/>
    <row r="398" ht="60" customHeight="1" x14ac:dyDescent="0.25"/>
    <row r="399" ht="60" customHeight="1" x14ac:dyDescent="0.25"/>
    <row r="400" ht="60" customHeight="1" x14ac:dyDescent="0.25"/>
    <row r="401" ht="60" customHeight="1" x14ac:dyDescent="0.25"/>
    <row r="402" ht="60" customHeight="1" x14ac:dyDescent="0.25"/>
    <row r="403" ht="60" customHeight="1" x14ac:dyDescent="0.25"/>
    <row r="404" ht="60" customHeight="1" x14ac:dyDescent="0.25"/>
    <row r="405" ht="60" customHeight="1" x14ac:dyDescent="0.25"/>
    <row r="406" ht="60" customHeight="1" x14ac:dyDescent="0.25"/>
    <row r="407" ht="60" customHeight="1" x14ac:dyDescent="0.25"/>
    <row r="408" ht="60" customHeight="1" x14ac:dyDescent="0.25"/>
    <row r="409" ht="60" customHeight="1" x14ac:dyDescent="0.25"/>
    <row r="410" ht="60" customHeight="1" x14ac:dyDescent="0.25"/>
    <row r="411" ht="60" customHeight="1" x14ac:dyDescent="0.25"/>
    <row r="412" ht="60" customHeight="1" x14ac:dyDescent="0.25"/>
    <row r="413" ht="60" customHeight="1" x14ac:dyDescent="0.25"/>
    <row r="414" ht="60" customHeight="1" x14ac:dyDescent="0.25"/>
    <row r="415" ht="60" customHeight="1" x14ac:dyDescent="0.25"/>
    <row r="416" ht="60" customHeight="1" x14ac:dyDescent="0.25"/>
    <row r="417" ht="60" customHeight="1" x14ac:dyDescent="0.25"/>
    <row r="418" ht="60" customHeight="1" x14ac:dyDescent="0.25"/>
    <row r="419" ht="60" customHeight="1" x14ac:dyDescent="0.25"/>
    <row r="420" ht="60" customHeight="1" x14ac:dyDescent="0.25"/>
    <row r="421" ht="60" customHeight="1" x14ac:dyDescent="0.25"/>
    <row r="422" ht="60" customHeight="1" x14ac:dyDescent="0.25"/>
    <row r="423" ht="60" customHeight="1" x14ac:dyDescent="0.25"/>
    <row r="424" ht="60" customHeight="1" x14ac:dyDescent="0.25"/>
    <row r="425" ht="60" customHeight="1" x14ac:dyDescent="0.25"/>
    <row r="426" ht="60" customHeight="1" x14ac:dyDescent="0.25"/>
    <row r="427" ht="60" customHeight="1" x14ac:dyDescent="0.25"/>
    <row r="428" ht="60" customHeight="1" x14ac:dyDescent="0.25"/>
    <row r="429" ht="60" customHeight="1" x14ac:dyDescent="0.25"/>
    <row r="430" ht="60" customHeight="1" x14ac:dyDescent="0.25"/>
    <row r="431" ht="60" customHeight="1" x14ac:dyDescent="0.25"/>
    <row r="432" ht="60" customHeight="1" x14ac:dyDescent="0.25"/>
    <row r="433" ht="60" customHeight="1" x14ac:dyDescent="0.25"/>
    <row r="434" ht="60" customHeight="1" x14ac:dyDescent="0.25"/>
    <row r="435" ht="60" customHeight="1" x14ac:dyDescent="0.25"/>
    <row r="436" ht="60" customHeight="1" x14ac:dyDescent="0.25"/>
    <row r="437" ht="60" customHeight="1" x14ac:dyDescent="0.25"/>
    <row r="438" ht="60" customHeight="1" x14ac:dyDescent="0.25"/>
    <row r="439" ht="60" customHeight="1" x14ac:dyDescent="0.25"/>
    <row r="440" ht="60" customHeight="1" x14ac:dyDescent="0.25"/>
    <row r="441" ht="60" customHeight="1" x14ac:dyDescent="0.25"/>
    <row r="442" ht="60" customHeight="1" x14ac:dyDescent="0.25"/>
    <row r="443" ht="60" customHeight="1" x14ac:dyDescent="0.25"/>
    <row r="444" ht="60" customHeight="1" x14ac:dyDescent="0.25"/>
    <row r="445" ht="60" customHeight="1" x14ac:dyDescent="0.25"/>
    <row r="446" ht="60" customHeight="1" x14ac:dyDescent="0.25"/>
    <row r="447" ht="60" customHeight="1" x14ac:dyDescent="0.25"/>
    <row r="448" ht="60" customHeight="1" x14ac:dyDescent="0.25"/>
    <row r="449" ht="60" customHeight="1" x14ac:dyDescent="0.25"/>
    <row r="450" ht="60" customHeight="1" x14ac:dyDescent="0.25"/>
    <row r="451" ht="60" customHeight="1" x14ac:dyDescent="0.25"/>
    <row r="452" ht="60" customHeight="1" x14ac:dyDescent="0.25"/>
    <row r="453" ht="60" customHeight="1" x14ac:dyDescent="0.25"/>
    <row r="454" ht="60" customHeight="1" x14ac:dyDescent="0.25"/>
    <row r="455" ht="60" customHeight="1" x14ac:dyDescent="0.25"/>
    <row r="456" ht="60" customHeight="1" x14ac:dyDescent="0.25"/>
    <row r="457" ht="60" customHeight="1" x14ac:dyDescent="0.25"/>
    <row r="458" ht="60" customHeight="1" x14ac:dyDescent="0.25"/>
    <row r="459" ht="60" customHeight="1" x14ac:dyDescent="0.25"/>
    <row r="460" ht="60" customHeight="1" x14ac:dyDescent="0.25"/>
    <row r="461" ht="60" customHeight="1" x14ac:dyDescent="0.25"/>
    <row r="462" ht="60" customHeight="1" x14ac:dyDescent="0.25"/>
    <row r="463" ht="60" customHeight="1" x14ac:dyDescent="0.25"/>
    <row r="464" ht="60" customHeight="1" x14ac:dyDescent="0.25"/>
    <row r="465" ht="60" customHeight="1" x14ac:dyDescent="0.25"/>
    <row r="466" ht="60" customHeight="1" x14ac:dyDescent="0.25"/>
    <row r="467" ht="60" customHeight="1" x14ac:dyDescent="0.25"/>
    <row r="468" ht="60" customHeight="1" x14ac:dyDescent="0.25"/>
    <row r="469" ht="60" customHeight="1" x14ac:dyDescent="0.25"/>
    <row r="470" ht="60" customHeight="1" x14ac:dyDescent="0.25"/>
    <row r="471" ht="60" customHeight="1" x14ac:dyDescent="0.25"/>
    <row r="472" ht="60" customHeight="1" x14ac:dyDescent="0.25"/>
    <row r="473" ht="60" customHeight="1" x14ac:dyDescent="0.25"/>
    <row r="474" ht="60" customHeight="1" x14ac:dyDescent="0.25"/>
    <row r="475" ht="60" customHeight="1" x14ac:dyDescent="0.25"/>
    <row r="476" ht="60" customHeight="1" x14ac:dyDescent="0.25"/>
    <row r="477" ht="60" customHeight="1" x14ac:dyDescent="0.25"/>
    <row r="478" ht="60" customHeight="1" x14ac:dyDescent="0.25"/>
    <row r="479" ht="60" customHeight="1" x14ac:dyDescent="0.25"/>
    <row r="480" ht="60" customHeight="1" x14ac:dyDescent="0.25"/>
    <row r="481" ht="60" customHeight="1" x14ac:dyDescent="0.25"/>
    <row r="482" ht="60" customHeight="1" x14ac:dyDescent="0.25"/>
    <row r="483" ht="60" customHeight="1" x14ac:dyDescent="0.25"/>
    <row r="484" ht="60" customHeight="1" x14ac:dyDescent="0.25"/>
    <row r="485" ht="60" customHeight="1" x14ac:dyDescent="0.25"/>
    <row r="486" ht="60" customHeight="1" x14ac:dyDescent="0.25"/>
    <row r="487" ht="60" customHeight="1" x14ac:dyDescent="0.25"/>
    <row r="488" ht="60" customHeight="1" x14ac:dyDescent="0.25"/>
    <row r="489" ht="60" customHeight="1" x14ac:dyDescent="0.25"/>
    <row r="490" ht="60" customHeight="1" x14ac:dyDescent="0.25"/>
    <row r="491" ht="60" customHeight="1" x14ac:dyDescent="0.25"/>
    <row r="492" ht="60" customHeight="1" x14ac:dyDescent="0.25"/>
    <row r="493" ht="60" customHeight="1" x14ac:dyDescent="0.25"/>
    <row r="494" ht="60" customHeight="1" x14ac:dyDescent="0.25"/>
    <row r="495" ht="60" customHeight="1" x14ac:dyDescent="0.25"/>
    <row r="496" ht="60" customHeight="1" x14ac:dyDescent="0.25"/>
    <row r="497" ht="60" customHeight="1" x14ac:dyDescent="0.25"/>
    <row r="498" ht="60" customHeight="1" x14ac:dyDescent="0.25"/>
    <row r="499" ht="60" customHeight="1" x14ac:dyDescent="0.25"/>
    <row r="500" ht="60" customHeight="1" x14ac:dyDescent="0.25"/>
    <row r="501" ht="60" customHeight="1" x14ac:dyDescent="0.25"/>
    <row r="502" ht="60" customHeight="1" x14ac:dyDescent="0.25"/>
    <row r="503" ht="60" customHeight="1" x14ac:dyDescent="0.25"/>
    <row r="504" ht="60" customHeight="1" x14ac:dyDescent="0.25"/>
    <row r="505" ht="60" customHeight="1" x14ac:dyDescent="0.25"/>
    <row r="506" ht="60" customHeight="1" x14ac:dyDescent="0.25"/>
    <row r="507" ht="60" customHeight="1" x14ac:dyDescent="0.25"/>
    <row r="508" ht="60" customHeight="1" x14ac:dyDescent="0.25"/>
    <row r="509" ht="60" customHeight="1" x14ac:dyDescent="0.25"/>
    <row r="510" ht="60" customHeight="1" x14ac:dyDescent="0.25"/>
    <row r="511" ht="60" customHeight="1" x14ac:dyDescent="0.25"/>
    <row r="512" ht="60" customHeight="1" x14ac:dyDescent="0.25"/>
    <row r="513" ht="60" customHeight="1" x14ac:dyDescent="0.25"/>
    <row r="514" ht="60" customHeight="1" x14ac:dyDescent="0.25"/>
    <row r="515" ht="60" customHeight="1" x14ac:dyDescent="0.25"/>
    <row r="516" ht="60" customHeight="1" x14ac:dyDescent="0.25"/>
    <row r="517" ht="60" customHeight="1" x14ac:dyDescent="0.25"/>
    <row r="518" ht="60" customHeight="1" x14ac:dyDescent="0.25"/>
    <row r="519" ht="60" customHeight="1" x14ac:dyDescent="0.25"/>
    <row r="520" ht="60" customHeight="1" x14ac:dyDescent="0.25"/>
    <row r="521" ht="60" customHeight="1" x14ac:dyDescent="0.25"/>
    <row r="522" ht="60" customHeight="1" x14ac:dyDescent="0.25"/>
    <row r="523" ht="60" customHeight="1" x14ac:dyDescent="0.25"/>
    <row r="524" ht="60" customHeight="1" x14ac:dyDescent="0.25"/>
    <row r="525" ht="60" customHeight="1" x14ac:dyDescent="0.25"/>
    <row r="526" ht="60" customHeight="1" x14ac:dyDescent="0.25"/>
    <row r="527" ht="60" customHeight="1" x14ac:dyDescent="0.25"/>
    <row r="528" ht="60" customHeight="1" x14ac:dyDescent="0.25"/>
    <row r="529" ht="60" customHeight="1" x14ac:dyDescent="0.25"/>
    <row r="530" ht="60" customHeight="1" x14ac:dyDescent="0.25"/>
    <row r="531" ht="60" customHeight="1" x14ac:dyDescent="0.25"/>
    <row r="532" ht="60" customHeight="1" x14ac:dyDescent="0.25"/>
    <row r="533" ht="60" customHeight="1" x14ac:dyDescent="0.25"/>
    <row r="534" ht="60" customHeight="1" x14ac:dyDescent="0.25"/>
    <row r="535" ht="60" customHeight="1" x14ac:dyDescent="0.25"/>
    <row r="536" ht="60" customHeight="1" x14ac:dyDescent="0.25"/>
    <row r="537" ht="60" customHeight="1" x14ac:dyDescent="0.25"/>
    <row r="538" ht="60" customHeight="1" x14ac:dyDescent="0.25"/>
    <row r="539" ht="60" customHeight="1" x14ac:dyDescent="0.25"/>
    <row r="540" ht="60" customHeight="1" x14ac:dyDescent="0.25"/>
    <row r="541" ht="60" customHeight="1" x14ac:dyDescent="0.25"/>
    <row r="542" ht="60" customHeight="1" x14ac:dyDescent="0.25"/>
    <row r="543" ht="60" customHeight="1" x14ac:dyDescent="0.25"/>
    <row r="544" ht="60" customHeight="1" x14ac:dyDescent="0.25"/>
    <row r="545" ht="60" customHeight="1" x14ac:dyDescent="0.25"/>
    <row r="546" ht="60" customHeight="1" x14ac:dyDescent="0.25"/>
    <row r="547" ht="60" customHeight="1" x14ac:dyDescent="0.25"/>
    <row r="548" ht="60" customHeight="1" x14ac:dyDescent="0.25"/>
    <row r="549" ht="60" customHeight="1" x14ac:dyDescent="0.25"/>
    <row r="550" ht="60" customHeight="1" x14ac:dyDescent="0.25"/>
    <row r="551" ht="60" customHeight="1" x14ac:dyDescent="0.25"/>
    <row r="552" ht="60" customHeight="1" x14ac:dyDescent="0.25"/>
    <row r="553" ht="60" customHeight="1" x14ac:dyDescent="0.25"/>
    <row r="554" ht="60" customHeight="1" x14ac:dyDescent="0.25"/>
    <row r="555" ht="60" customHeight="1" x14ac:dyDescent="0.25"/>
    <row r="556" ht="60" customHeight="1" x14ac:dyDescent="0.25"/>
    <row r="557" ht="60" customHeight="1" x14ac:dyDescent="0.25"/>
    <row r="558" ht="60" customHeight="1" x14ac:dyDescent="0.25"/>
    <row r="559" ht="60" customHeight="1" x14ac:dyDescent="0.25"/>
    <row r="560" ht="60" customHeight="1" x14ac:dyDescent="0.25"/>
    <row r="561" ht="60" customHeight="1" x14ac:dyDescent="0.25"/>
    <row r="562" ht="60" customHeight="1" x14ac:dyDescent="0.25"/>
    <row r="563" ht="60" customHeight="1" x14ac:dyDescent="0.25"/>
    <row r="564" ht="60" customHeight="1" x14ac:dyDescent="0.25"/>
    <row r="565" ht="60" customHeight="1" x14ac:dyDescent="0.25"/>
    <row r="566" ht="60" customHeight="1" x14ac:dyDescent="0.25"/>
    <row r="567" ht="60" customHeight="1" x14ac:dyDescent="0.25"/>
    <row r="568" ht="60" customHeight="1" x14ac:dyDescent="0.25"/>
    <row r="569" ht="60" customHeight="1" x14ac:dyDescent="0.25"/>
    <row r="570" ht="60" customHeight="1" x14ac:dyDescent="0.25"/>
    <row r="571" ht="60" customHeight="1" x14ac:dyDescent="0.25"/>
    <row r="572" ht="60" customHeight="1" x14ac:dyDescent="0.25"/>
    <row r="573" ht="60" customHeight="1" x14ac:dyDescent="0.25"/>
    <row r="574" ht="60" customHeight="1" x14ac:dyDescent="0.25"/>
    <row r="575" ht="60" customHeight="1" x14ac:dyDescent="0.25"/>
    <row r="576" ht="60" customHeight="1" x14ac:dyDescent="0.25"/>
    <row r="577" ht="60" customHeight="1" x14ac:dyDescent="0.25"/>
    <row r="578" ht="60" customHeight="1" x14ac:dyDescent="0.25"/>
    <row r="579" ht="60" customHeight="1" x14ac:dyDescent="0.25"/>
    <row r="580" ht="60" customHeight="1" x14ac:dyDescent="0.25"/>
    <row r="581" ht="60" customHeight="1" x14ac:dyDescent="0.25"/>
    <row r="582" ht="60" customHeight="1" x14ac:dyDescent="0.25"/>
    <row r="583" ht="60" customHeight="1" x14ac:dyDescent="0.25"/>
    <row r="584" ht="60" customHeight="1" x14ac:dyDescent="0.25"/>
    <row r="585" ht="60" customHeight="1" x14ac:dyDescent="0.25"/>
    <row r="586" ht="60" customHeight="1" x14ac:dyDescent="0.25"/>
    <row r="587" ht="60" customHeight="1" x14ac:dyDescent="0.25"/>
    <row r="588" ht="60" customHeight="1" x14ac:dyDescent="0.25"/>
    <row r="589" ht="60" customHeight="1" x14ac:dyDescent="0.25"/>
    <row r="590" ht="60" customHeight="1" x14ac:dyDescent="0.25"/>
    <row r="591" ht="60" customHeight="1" x14ac:dyDescent="0.25"/>
    <row r="592" ht="60" customHeight="1" x14ac:dyDescent="0.25"/>
    <row r="593" ht="60" customHeight="1" x14ac:dyDescent="0.25"/>
    <row r="594" ht="60" customHeight="1" x14ac:dyDescent="0.25"/>
    <row r="595" ht="60" customHeight="1" x14ac:dyDescent="0.25"/>
    <row r="596" ht="60" customHeight="1" x14ac:dyDescent="0.25"/>
    <row r="597" ht="60" customHeight="1" x14ac:dyDescent="0.25"/>
    <row r="598" ht="60" customHeight="1" x14ac:dyDescent="0.25"/>
    <row r="599" ht="60" customHeight="1" x14ac:dyDescent="0.25"/>
    <row r="600" ht="60" customHeight="1" x14ac:dyDescent="0.25"/>
    <row r="601" ht="60" customHeight="1" x14ac:dyDescent="0.25"/>
    <row r="602" ht="60" customHeight="1" x14ac:dyDescent="0.25"/>
    <row r="603" ht="60" customHeight="1" x14ac:dyDescent="0.25"/>
    <row r="604" ht="60" customHeight="1" x14ac:dyDescent="0.25"/>
    <row r="605" ht="60" customHeight="1" x14ac:dyDescent="0.25"/>
    <row r="606" ht="60" customHeight="1" x14ac:dyDescent="0.25"/>
    <row r="607" ht="60" customHeight="1" x14ac:dyDescent="0.25"/>
    <row r="608" ht="60" customHeight="1" x14ac:dyDescent="0.25"/>
    <row r="609" ht="60" customHeight="1" x14ac:dyDescent="0.25"/>
    <row r="610" ht="60" customHeight="1" x14ac:dyDescent="0.25"/>
    <row r="611" ht="60" customHeight="1" x14ac:dyDescent="0.25"/>
    <row r="612" ht="60" customHeight="1" x14ac:dyDescent="0.25"/>
    <row r="613" ht="60" customHeight="1" x14ac:dyDescent="0.25"/>
    <row r="614" ht="60" customHeight="1" x14ac:dyDescent="0.25"/>
    <row r="615" ht="60" customHeight="1" x14ac:dyDescent="0.25"/>
    <row r="616" ht="60" customHeight="1" x14ac:dyDescent="0.25"/>
    <row r="617" ht="60" customHeight="1" x14ac:dyDescent="0.25"/>
    <row r="618" ht="60" customHeight="1" x14ac:dyDescent="0.25"/>
    <row r="619" ht="60" customHeight="1" x14ac:dyDescent="0.25"/>
    <row r="620" ht="60" customHeight="1" x14ac:dyDescent="0.25"/>
    <row r="621" ht="60" customHeight="1" x14ac:dyDescent="0.25"/>
    <row r="622" ht="60" customHeight="1" x14ac:dyDescent="0.25"/>
    <row r="623" ht="60" customHeight="1" x14ac:dyDescent="0.25"/>
    <row r="624" ht="60" customHeight="1" x14ac:dyDescent="0.25"/>
    <row r="625" ht="60" customHeight="1" x14ac:dyDescent="0.25"/>
    <row r="626" ht="60" customHeight="1" x14ac:dyDescent="0.25"/>
    <row r="627" ht="60" customHeight="1" x14ac:dyDescent="0.25"/>
    <row r="628" ht="60" customHeight="1" x14ac:dyDescent="0.25"/>
    <row r="629" ht="60" customHeight="1" x14ac:dyDescent="0.25"/>
    <row r="630" ht="60" customHeight="1" x14ac:dyDescent="0.25"/>
    <row r="631" ht="60" customHeight="1" x14ac:dyDescent="0.25"/>
    <row r="632" ht="60" customHeight="1" x14ac:dyDescent="0.25"/>
    <row r="633" ht="60" customHeight="1" x14ac:dyDescent="0.25"/>
    <row r="634" ht="60" customHeight="1" x14ac:dyDescent="0.25"/>
    <row r="635" ht="60" customHeight="1" x14ac:dyDescent="0.25"/>
    <row r="636" ht="60" customHeight="1" x14ac:dyDescent="0.25"/>
    <row r="637" ht="60" customHeight="1" x14ac:dyDescent="0.25"/>
    <row r="638" ht="60" customHeight="1" x14ac:dyDescent="0.25"/>
    <row r="639" ht="60" customHeight="1" x14ac:dyDescent="0.25"/>
    <row r="640" ht="60" customHeight="1" x14ac:dyDescent="0.25"/>
    <row r="641" ht="60" customHeight="1" x14ac:dyDescent="0.25"/>
    <row r="642" ht="60" customHeight="1" x14ac:dyDescent="0.25"/>
    <row r="643" ht="60" customHeight="1" x14ac:dyDescent="0.25"/>
    <row r="644" ht="60" customHeight="1" x14ac:dyDescent="0.25"/>
    <row r="645" ht="60" customHeight="1" x14ac:dyDescent="0.25"/>
    <row r="646" ht="60" customHeight="1" x14ac:dyDescent="0.25"/>
    <row r="647" ht="60" customHeight="1" x14ac:dyDescent="0.25"/>
    <row r="648" ht="60" customHeight="1" x14ac:dyDescent="0.25"/>
    <row r="649" ht="60" customHeight="1" x14ac:dyDescent="0.25"/>
    <row r="650" ht="60" customHeight="1" x14ac:dyDescent="0.25"/>
    <row r="651" ht="60" customHeight="1" x14ac:dyDescent="0.25"/>
    <row r="652" ht="60" customHeight="1" x14ac:dyDescent="0.25"/>
    <row r="653" ht="60" customHeight="1" x14ac:dyDescent="0.25"/>
    <row r="654" ht="60" customHeight="1" x14ac:dyDescent="0.25"/>
    <row r="655" ht="60" customHeight="1" x14ac:dyDescent="0.25"/>
    <row r="656" ht="60" customHeight="1" x14ac:dyDescent="0.25"/>
    <row r="657" ht="60" customHeight="1" x14ac:dyDescent="0.25"/>
    <row r="658" ht="60" customHeight="1" x14ac:dyDescent="0.25"/>
    <row r="659" ht="60" customHeight="1" x14ac:dyDescent="0.25"/>
    <row r="660" ht="60" customHeight="1" x14ac:dyDescent="0.25"/>
    <row r="661" ht="60" customHeight="1" x14ac:dyDescent="0.25"/>
    <row r="662" ht="60" customHeight="1" x14ac:dyDescent="0.25"/>
    <row r="663" ht="60" customHeight="1" x14ac:dyDescent="0.25"/>
    <row r="664" ht="60" customHeight="1" x14ac:dyDescent="0.25"/>
    <row r="665" ht="60" customHeight="1" x14ac:dyDescent="0.25"/>
    <row r="666" ht="60" customHeight="1" x14ac:dyDescent="0.25"/>
    <row r="667" ht="60" customHeight="1" x14ac:dyDescent="0.25"/>
    <row r="668" ht="60" customHeight="1" x14ac:dyDescent="0.25"/>
    <row r="669" ht="60" customHeight="1" x14ac:dyDescent="0.25"/>
    <row r="670" ht="60" customHeight="1" x14ac:dyDescent="0.25"/>
    <row r="671" ht="60" customHeight="1" x14ac:dyDescent="0.25"/>
    <row r="672" ht="60" customHeight="1" x14ac:dyDescent="0.25"/>
    <row r="673" ht="60" customHeight="1" x14ac:dyDescent="0.25"/>
    <row r="674" ht="60" customHeight="1" x14ac:dyDescent="0.25"/>
    <row r="675" ht="60" customHeight="1" x14ac:dyDescent="0.25"/>
    <row r="676" ht="60" customHeight="1" x14ac:dyDescent="0.25"/>
    <row r="677" ht="60" customHeight="1" x14ac:dyDescent="0.25"/>
    <row r="678" ht="60" customHeight="1" x14ac:dyDescent="0.25"/>
    <row r="679" ht="60" customHeight="1" x14ac:dyDescent="0.25"/>
    <row r="680" ht="60" customHeight="1" x14ac:dyDescent="0.25"/>
    <row r="681" ht="60" customHeight="1" x14ac:dyDescent="0.25"/>
    <row r="682" ht="60" customHeight="1" x14ac:dyDescent="0.25"/>
    <row r="683" ht="60" customHeight="1" x14ac:dyDescent="0.25"/>
    <row r="684" ht="60" customHeight="1" x14ac:dyDescent="0.25"/>
    <row r="685" ht="60" customHeight="1" x14ac:dyDescent="0.25"/>
    <row r="686" ht="60" customHeight="1" x14ac:dyDescent="0.25"/>
    <row r="687" ht="60" customHeight="1" x14ac:dyDescent="0.25"/>
    <row r="688" ht="60" customHeight="1" x14ac:dyDescent="0.25"/>
    <row r="689" ht="60" customHeight="1" x14ac:dyDescent="0.25"/>
    <row r="690" ht="60" customHeight="1" x14ac:dyDescent="0.25"/>
    <row r="691" ht="60" customHeight="1" x14ac:dyDescent="0.25"/>
    <row r="692" ht="60" customHeight="1" x14ac:dyDescent="0.25"/>
    <row r="693" ht="60" customHeight="1" x14ac:dyDescent="0.25"/>
    <row r="694" ht="60" customHeight="1" x14ac:dyDescent="0.25"/>
    <row r="695" ht="60" customHeight="1" x14ac:dyDescent="0.25"/>
    <row r="696" ht="60" customHeight="1" x14ac:dyDescent="0.25"/>
    <row r="697" ht="60" customHeight="1" x14ac:dyDescent="0.25"/>
    <row r="698" ht="60" customHeight="1" x14ac:dyDescent="0.25"/>
    <row r="699" ht="60" customHeight="1" x14ac:dyDescent="0.25"/>
    <row r="700" ht="60" customHeight="1" x14ac:dyDescent="0.25"/>
    <row r="701" ht="60" customHeight="1" x14ac:dyDescent="0.25"/>
    <row r="702" ht="60" customHeight="1" x14ac:dyDescent="0.25"/>
    <row r="703" ht="60" customHeight="1" x14ac:dyDescent="0.25"/>
    <row r="704" ht="60" customHeight="1" x14ac:dyDescent="0.25"/>
    <row r="705" ht="60" customHeight="1" x14ac:dyDescent="0.25"/>
    <row r="706" ht="60" customHeight="1" x14ac:dyDescent="0.25"/>
    <row r="707" ht="60" customHeight="1" x14ac:dyDescent="0.25"/>
    <row r="708" ht="60" customHeight="1" x14ac:dyDescent="0.25"/>
    <row r="709" ht="60" customHeight="1" x14ac:dyDescent="0.25"/>
    <row r="710" ht="60" customHeight="1" x14ac:dyDescent="0.25"/>
    <row r="711" ht="60" customHeight="1" x14ac:dyDescent="0.25"/>
    <row r="712" ht="60" customHeight="1" x14ac:dyDescent="0.25"/>
    <row r="713" ht="60" customHeight="1" x14ac:dyDescent="0.25"/>
    <row r="714" ht="60" customHeight="1" x14ac:dyDescent="0.25"/>
    <row r="715" ht="60" customHeight="1" x14ac:dyDescent="0.25"/>
    <row r="716" ht="60" customHeight="1" x14ac:dyDescent="0.25"/>
    <row r="717" ht="60" customHeight="1" x14ac:dyDescent="0.25"/>
    <row r="718" ht="60" customHeight="1" x14ac:dyDescent="0.25"/>
    <row r="719" ht="60" customHeight="1" x14ac:dyDescent="0.25"/>
    <row r="720" ht="60" customHeight="1" x14ac:dyDescent="0.25"/>
    <row r="721" ht="60" customHeight="1" x14ac:dyDescent="0.25"/>
    <row r="722" ht="60" customHeight="1" x14ac:dyDescent="0.25"/>
    <row r="723" ht="60" customHeight="1" x14ac:dyDescent="0.25"/>
    <row r="724" ht="60" customHeight="1" x14ac:dyDescent="0.25"/>
    <row r="725" ht="60" customHeight="1" x14ac:dyDescent="0.25"/>
    <row r="726" ht="60" customHeight="1" x14ac:dyDescent="0.25"/>
    <row r="727" ht="60" customHeight="1" x14ac:dyDescent="0.25"/>
    <row r="728" ht="60" customHeight="1" x14ac:dyDescent="0.25"/>
    <row r="729" ht="60" customHeight="1" x14ac:dyDescent="0.25"/>
    <row r="730" ht="60" customHeight="1" x14ac:dyDescent="0.25"/>
    <row r="731" ht="60" customHeight="1" x14ac:dyDescent="0.25"/>
    <row r="732" ht="60" customHeight="1" x14ac:dyDescent="0.25"/>
    <row r="733" ht="60" customHeight="1" x14ac:dyDescent="0.25"/>
    <row r="734" ht="60" customHeight="1" x14ac:dyDescent="0.25"/>
    <row r="735" ht="60" customHeight="1" x14ac:dyDescent="0.25"/>
    <row r="736" ht="60" customHeight="1" x14ac:dyDescent="0.25"/>
    <row r="737" ht="60" customHeight="1" x14ac:dyDescent="0.25"/>
    <row r="738" ht="60" customHeight="1" x14ac:dyDescent="0.25"/>
    <row r="739" ht="60" customHeight="1" x14ac:dyDescent="0.25"/>
    <row r="740" ht="60" customHeight="1" x14ac:dyDescent="0.25"/>
    <row r="741" ht="60" customHeight="1" x14ac:dyDescent="0.25"/>
    <row r="742" ht="60" customHeight="1" x14ac:dyDescent="0.25"/>
    <row r="743" ht="60" customHeight="1" x14ac:dyDescent="0.25"/>
    <row r="744" ht="60" customHeight="1" x14ac:dyDescent="0.25"/>
    <row r="745" ht="60" customHeight="1" x14ac:dyDescent="0.25"/>
    <row r="746" ht="60" customHeight="1" x14ac:dyDescent="0.25"/>
    <row r="747" ht="60" customHeight="1" x14ac:dyDescent="0.25"/>
    <row r="748" ht="60" customHeight="1" x14ac:dyDescent="0.25"/>
    <row r="749" ht="60" customHeight="1" x14ac:dyDescent="0.25"/>
    <row r="750" ht="60" customHeight="1" x14ac:dyDescent="0.25"/>
    <row r="751" ht="60" customHeight="1" x14ac:dyDescent="0.25"/>
    <row r="752" ht="60" customHeight="1" x14ac:dyDescent="0.25"/>
    <row r="753" ht="60" customHeight="1" x14ac:dyDescent="0.25"/>
    <row r="754" ht="60" customHeight="1" x14ac:dyDescent="0.25"/>
    <row r="755" ht="60" customHeight="1" x14ac:dyDescent="0.25"/>
    <row r="756" ht="60" customHeight="1" x14ac:dyDescent="0.25"/>
    <row r="757" ht="60" customHeight="1" x14ac:dyDescent="0.25"/>
    <row r="758" ht="60" customHeight="1" x14ac:dyDescent="0.25"/>
    <row r="759" ht="60" customHeight="1" x14ac:dyDescent="0.25"/>
    <row r="760" ht="60" customHeight="1" x14ac:dyDescent="0.25"/>
    <row r="761" ht="60" customHeight="1" x14ac:dyDescent="0.25"/>
    <row r="762" ht="60" customHeight="1" x14ac:dyDescent="0.25"/>
    <row r="763" ht="60" customHeight="1" x14ac:dyDescent="0.25"/>
    <row r="764" ht="60" customHeight="1" x14ac:dyDescent="0.25"/>
    <row r="765" ht="60" customHeight="1" x14ac:dyDescent="0.25"/>
    <row r="766" ht="60" customHeight="1" x14ac:dyDescent="0.25"/>
    <row r="767" ht="60" customHeight="1" x14ac:dyDescent="0.25"/>
    <row r="768" ht="60" customHeight="1" x14ac:dyDescent="0.25"/>
    <row r="769" ht="60" customHeight="1" x14ac:dyDescent="0.25"/>
    <row r="770" ht="60" customHeight="1" x14ac:dyDescent="0.25"/>
    <row r="771" ht="60" customHeight="1" x14ac:dyDescent="0.25"/>
    <row r="772" ht="60" customHeight="1" x14ac:dyDescent="0.25"/>
    <row r="773" ht="60" customHeight="1" x14ac:dyDescent="0.25"/>
    <row r="774" ht="60" customHeight="1" x14ac:dyDescent="0.25"/>
    <row r="775" ht="60" customHeight="1" x14ac:dyDescent="0.25"/>
    <row r="776" ht="60" customHeight="1" x14ac:dyDescent="0.25"/>
    <row r="777" ht="60" customHeight="1" x14ac:dyDescent="0.25"/>
    <row r="778" ht="60" customHeight="1" x14ac:dyDescent="0.25"/>
    <row r="779" ht="60" customHeight="1" x14ac:dyDescent="0.25"/>
    <row r="780" ht="60" customHeight="1" x14ac:dyDescent="0.25"/>
    <row r="781" ht="60" customHeight="1" x14ac:dyDescent="0.25"/>
    <row r="782" ht="60" customHeight="1" x14ac:dyDescent="0.25"/>
    <row r="783" ht="60" customHeight="1" x14ac:dyDescent="0.25"/>
    <row r="784" ht="60" customHeight="1" x14ac:dyDescent="0.25"/>
    <row r="785" ht="60" customHeight="1" x14ac:dyDescent="0.25"/>
    <row r="786" ht="60" customHeight="1" x14ac:dyDescent="0.25"/>
    <row r="787" ht="60" customHeight="1" x14ac:dyDescent="0.25"/>
    <row r="788" ht="60" customHeight="1" x14ac:dyDescent="0.25"/>
    <row r="789" ht="60" customHeight="1" x14ac:dyDescent="0.25"/>
    <row r="790" ht="60" customHeight="1" x14ac:dyDescent="0.25"/>
    <row r="791" ht="60" customHeight="1" x14ac:dyDescent="0.25"/>
    <row r="792" ht="60" customHeight="1" x14ac:dyDescent="0.25"/>
    <row r="793" ht="60" customHeight="1" x14ac:dyDescent="0.25"/>
    <row r="794" ht="60" customHeight="1" x14ac:dyDescent="0.25"/>
    <row r="795" ht="60" customHeight="1" x14ac:dyDescent="0.25"/>
    <row r="796" ht="60" customHeight="1" x14ac:dyDescent="0.25"/>
    <row r="797" ht="60" customHeight="1" x14ac:dyDescent="0.25"/>
    <row r="798" ht="60" customHeight="1" x14ac:dyDescent="0.25"/>
    <row r="799" ht="60" customHeight="1" x14ac:dyDescent="0.25"/>
    <row r="800" ht="60" customHeight="1" x14ac:dyDescent="0.25"/>
    <row r="801" ht="60" customHeight="1" x14ac:dyDescent="0.25"/>
    <row r="802" ht="60" customHeight="1" x14ac:dyDescent="0.25"/>
    <row r="803" ht="60" customHeight="1" x14ac:dyDescent="0.25"/>
    <row r="804" ht="60" customHeight="1" x14ac:dyDescent="0.25"/>
    <row r="805" ht="60" customHeight="1" x14ac:dyDescent="0.25"/>
    <row r="806" ht="60" customHeight="1" x14ac:dyDescent="0.25"/>
    <row r="807" ht="60" customHeight="1" x14ac:dyDescent="0.25"/>
    <row r="808" ht="60" customHeight="1" x14ac:dyDescent="0.25"/>
    <row r="809" ht="60" customHeight="1" x14ac:dyDescent="0.25"/>
    <row r="810" ht="60" customHeight="1" x14ac:dyDescent="0.25"/>
    <row r="811" ht="60" customHeight="1" x14ac:dyDescent="0.25"/>
    <row r="812" ht="60" customHeight="1" x14ac:dyDescent="0.25"/>
    <row r="813" ht="60" customHeight="1" x14ac:dyDescent="0.25"/>
    <row r="814" ht="60" customHeight="1" x14ac:dyDescent="0.25"/>
    <row r="815" ht="60" customHeight="1" x14ac:dyDescent="0.25"/>
    <row r="816" ht="60" customHeight="1" x14ac:dyDescent="0.25"/>
    <row r="817" ht="60" customHeight="1" x14ac:dyDescent="0.25"/>
    <row r="818" ht="60" customHeight="1" x14ac:dyDescent="0.25"/>
    <row r="819" ht="60" customHeight="1" x14ac:dyDescent="0.25"/>
    <row r="820" ht="60" customHeight="1" x14ac:dyDescent="0.25"/>
    <row r="821" ht="60" customHeight="1" x14ac:dyDescent="0.25"/>
    <row r="822" ht="60" customHeight="1" x14ac:dyDescent="0.25"/>
    <row r="823" ht="60" customHeight="1" x14ac:dyDescent="0.25"/>
    <row r="824" ht="60" customHeight="1" x14ac:dyDescent="0.25"/>
    <row r="825" ht="60" customHeight="1" x14ac:dyDescent="0.25"/>
    <row r="826" ht="60" customHeight="1" x14ac:dyDescent="0.25"/>
    <row r="827" ht="60" customHeight="1" x14ac:dyDescent="0.25"/>
    <row r="828" ht="60" customHeight="1" x14ac:dyDescent="0.25"/>
    <row r="829" ht="60" customHeight="1" x14ac:dyDescent="0.25"/>
    <row r="830" ht="60" customHeight="1" x14ac:dyDescent="0.25"/>
    <row r="831" ht="60" customHeight="1" x14ac:dyDescent="0.25"/>
    <row r="832" ht="60" customHeight="1" x14ac:dyDescent="0.25"/>
    <row r="833" ht="60" customHeight="1" x14ac:dyDescent="0.25"/>
    <row r="834" ht="60" customHeight="1" x14ac:dyDescent="0.25"/>
    <row r="835" ht="60" customHeight="1" x14ac:dyDescent="0.25"/>
    <row r="836" ht="60" customHeight="1" x14ac:dyDescent="0.25"/>
    <row r="837" ht="60" customHeight="1" x14ac:dyDescent="0.25"/>
    <row r="838" ht="60" customHeight="1" x14ac:dyDescent="0.25"/>
    <row r="839" ht="60" customHeight="1" x14ac:dyDescent="0.25"/>
    <row r="840" ht="60" customHeight="1" x14ac:dyDescent="0.25"/>
    <row r="841" ht="60" customHeight="1" x14ac:dyDescent="0.25"/>
    <row r="842" ht="60" customHeight="1" x14ac:dyDescent="0.25"/>
    <row r="843" ht="60" customHeight="1" x14ac:dyDescent="0.25"/>
    <row r="844" ht="60" customHeight="1" x14ac:dyDescent="0.25"/>
    <row r="845" ht="60" customHeight="1" x14ac:dyDescent="0.25"/>
    <row r="846" ht="60" customHeight="1" x14ac:dyDescent="0.25"/>
    <row r="847" ht="60" customHeight="1" x14ac:dyDescent="0.25"/>
    <row r="848" ht="60" customHeight="1" x14ac:dyDescent="0.25"/>
    <row r="849" ht="60" customHeight="1" x14ac:dyDescent="0.25"/>
    <row r="850" ht="60" customHeight="1" x14ac:dyDescent="0.25"/>
    <row r="851" ht="60" customHeight="1" x14ac:dyDescent="0.25"/>
    <row r="852" ht="60" customHeight="1" x14ac:dyDescent="0.25"/>
    <row r="853" ht="60" customHeight="1" x14ac:dyDescent="0.25"/>
    <row r="854" ht="60" customHeight="1" x14ac:dyDescent="0.25"/>
    <row r="855" ht="60" customHeight="1" x14ac:dyDescent="0.25"/>
    <row r="856" ht="60" customHeight="1" x14ac:dyDescent="0.25"/>
    <row r="857" ht="60" customHeight="1" x14ac:dyDescent="0.25"/>
    <row r="858" ht="60" customHeight="1" x14ac:dyDescent="0.25"/>
    <row r="859" ht="60" customHeight="1" x14ac:dyDescent="0.25"/>
    <row r="860" ht="60" customHeight="1" x14ac:dyDescent="0.25"/>
    <row r="861" ht="60" customHeight="1" x14ac:dyDescent="0.25"/>
    <row r="862" ht="60" customHeight="1" x14ac:dyDescent="0.25"/>
    <row r="863" ht="60" customHeight="1" x14ac:dyDescent="0.25"/>
    <row r="864" ht="60" customHeight="1" x14ac:dyDescent="0.25"/>
    <row r="865" ht="60" customHeight="1" x14ac:dyDescent="0.25"/>
    <row r="866" ht="60" customHeight="1" x14ac:dyDescent="0.25"/>
    <row r="867" ht="60" customHeight="1" x14ac:dyDescent="0.25"/>
    <row r="868" ht="60" customHeight="1" x14ac:dyDescent="0.25"/>
    <row r="869" ht="60" customHeight="1" x14ac:dyDescent="0.25"/>
    <row r="870" ht="60" customHeight="1" x14ac:dyDescent="0.25"/>
    <row r="871" ht="60" customHeight="1" x14ac:dyDescent="0.25"/>
    <row r="872" ht="60" customHeight="1" x14ac:dyDescent="0.25"/>
    <row r="873" ht="60" customHeight="1" x14ac:dyDescent="0.25"/>
    <row r="874" ht="60" customHeight="1" x14ac:dyDescent="0.25"/>
    <row r="875" ht="60" customHeight="1" x14ac:dyDescent="0.25"/>
    <row r="876" ht="60" customHeight="1" x14ac:dyDescent="0.25"/>
    <row r="877" ht="60" customHeight="1" x14ac:dyDescent="0.25"/>
    <row r="878" ht="60" customHeight="1" x14ac:dyDescent="0.25"/>
    <row r="879" ht="60" customHeight="1" x14ac:dyDescent="0.25"/>
    <row r="880" ht="60" customHeight="1" x14ac:dyDescent="0.25"/>
    <row r="881" ht="60" customHeight="1" x14ac:dyDescent="0.25"/>
    <row r="882" ht="60" customHeight="1" x14ac:dyDescent="0.25"/>
    <row r="883" ht="60" customHeight="1" x14ac:dyDescent="0.25"/>
    <row r="884" ht="60" customHeight="1" x14ac:dyDescent="0.25"/>
    <row r="885" ht="60" customHeight="1" x14ac:dyDescent="0.25"/>
    <row r="886" ht="60" customHeight="1" x14ac:dyDescent="0.25"/>
    <row r="887" ht="60" customHeight="1" x14ac:dyDescent="0.25"/>
    <row r="888" ht="60" customHeight="1" x14ac:dyDescent="0.25"/>
    <row r="889" ht="60" customHeight="1" x14ac:dyDescent="0.25"/>
    <row r="890" ht="60" customHeight="1" x14ac:dyDescent="0.25"/>
    <row r="891" ht="60" customHeight="1" x14ac:dyDescent="0.25"/>
    <row r="892" ht="60" customHeight="1" x14ac:dyDescent="0.25"/>
    <row r="893" ht="60" customHeight="1" x14ac:dyDescent="0.25"/>
    <row r="894" ht="60" customHeight="1" x14ac:dyDescent="0.25"/>
    <row r="895" ht="60" customHeight="1" x14ac:dyDescent="0.25"/>
    <row r="896" ht="60" customHeight="1" x14ac:dyDescent="0.25"/>
    <row r="897" ht="60" customHeight="1" x14ac:dyDescent="0.25"/>
    <row r="898" ht="60" customHeight="1" x14ac:dyDescent="0.25"/>
    <row r="899" ht="60" customHeight="1" x14ac:dyDescent="0.25"/>
    <row r="900" ht="60" customHeight="1" x14ac:dyDescent="0.25"/>
    <row r="901" ht="60" customHeight="1" x14ac:dyDescent="0.25"/>
    <row r="902" ht="60" customHeight="1" x14ac:dyDescent="0.25"/>
    <row r="903" ht="60" customHeight="1" x14ac:dyDescent="0.25"/>
    <row r="904" ht="60" customHeight="1" x14ac:dyDescent="0.25"/>
    <row r="905" ht="60" customHeight="1" x14ac:dyDescent="0.25"/>
    <row r="906" ht="60" customHeight="1" x14ac:dyDescent="0.25"/>
    <row r="907" ht="60" customHeight="1" x14ac:dyDescent="0.25"/>
    <row r="908" ht="60" customHeight="1" x14ac:dyDescent="0.25"/>
    <row r="909" ht="60" customHeight="1" x14ac:dyDescent="0.25"/>
    <row r="910" ht="60" customHeight="1" x14ac:dyDescent="0.25"/>
    <row r="911" ht="60" customHeight="1" x14ac:dyDescent="0.25"/>
    <row r="912" ht="60" customHeight="1" x14ac:dyDescent="0.25"/>
    <row r="913" ht="60" customHeight="1" x14ac:dyDescent="0.25"/>
    <row r="914" ht="60" customHeight="1" x14ac:dyDescent="0.25"/>
    <row r="915" ht="60" customHeight="1" x14ac:dyDescent="0.25"/>
    <row r="916" ht="60" customHeight="1" x14ac:dyDescent="0.25"/>
    <row r="917" ht="60" customHeight="1" x14ac:dyDescent="0.25"/>
    <row r="918" ht="60" customHeight="1" x14ac:dyDescent="0.25"/>
    <row r="919" ht="60" customHeight="1" x14ac:dyDescent="0.25"/>
    <row r="920" ht="60" customHeight="1" x14ac:dyDescent="0.25"/>
    <row r="921" ht="60" customHeight="1" x14ac:dyDescent="0.25"/>
    <row r="922" ht="60" customHeight="1" x14ac:dyDescent="0.25"/>
    <row r="923" ht="60" customHeight="1" x14ac:dyDescent="0.25"/>
    <row r="924" ht="60" customHeight="1" x14ac:dyDescent="0.25"/>
    <row r="925" ht="60" customHeight="1" x14ac:dyDescent="0.25"/>
    <row r="926" ht="60" customHeight="1" x14ac:dyDescent="0.25"/>
    <row r="927" ht="60" customHeight="1" x14ac:dyDescent="0.25"/>
    <row r="928" ht="60" customHeight="1" x14ac:dyDescent="0.25"/>
    <row r="929" ht="60" customHeight="1" x14ac:dyDescent="0.25"/>
    <row r="930" ht="60" customHeight="1" x14ac:dyDescent="0.25"/>
    <row r="931" ht="60" customHeight="1" x14ac:dyDescent="0.25"/>
    <row r="932" ht="60" customHeight="1" x14ac:dyDescent="0.25"/>
    <row r="933" ht="60" customHeight="1" x14ac:dyDescent="0.25"/>
    <row r="934" ht="60" customHeight="1" x14ac:dyDescent="0.25"/>
    <row r="935" ht="60" customHeight="1" x14ac:dyDescent="0.25"/>
    <row r="936" ht="60" customHeight="1" x14ac:dyDescent="0.25"/>
    <row r="937" ht="60" customHeight="1" x14ac:dyDescent="0.25"/>
    <row r="938" ht="60" customHeight="1" x14ac:dyDescent="0.25"/>
    <row r="939" ht="60" customHeight="1" x14ac:dyDescent="0.25"/>
    <row r="940" ht="60" customHeight="1" x14ac:dyDescent="0.25"/>
    <row r="941" ht="60" customHeight="1" x14ac:dyDescent="0.25"/>
    <row r="942" ht="60" customHeight="1" x14ac:dyDescent="0.25"/>
    <row r="943" ht="60" customHeight="1" x14ac:dyDescent="0.25"/>
    <row r="944" ht="60" customHeight="1" x14ac:dyDescent="0.25"/>
    <row r="945" ht="60" customHeight="1" x14ac:dyDescent="0.25"/>
    <row r="946" ht="60" customHeight="1" x14ac:dyDescent="0.25"/>
    <row r="947" ht="60" customHeight="1" x14ac:dyDescent="0.25"/>
    <row r="948" ht="60" customHeight="1" x14ac:dyDescent="0.25"/>
    <row r="949" ht="60" customHeight="1" x14ac:dyDescent="0.25"/>
    <row r="950" ht="60" customHeight="1" x14ac:dyDescent="0.25"/>
    <row r="951" ht="60" customHeight="1" x14ac:dyDescent="0.25"/>
    <row r="952" ht="60" customHeight="1" x14ac:dyDescent="0.25"/>
    <row r="953" ht="60" customHeight="1" x14ac:dyDescent="0.25"/>
    <row r="954" ht="60" customHeight="1" x14ac:dyDescent="0.25"/>
    <row r="955" ht="60" customHeight="1" x14ac:dyDescent="0.25"/>
    <row r="956" ht="60" customHeight="1" x14ac:dyDescent="0.25"/>
    <row r="957" ht="60" customHeight="1" x14ac:dyDescent="0.25"/>
    <row r="958" ht="60" customHeight="1" x14ac:dyDescent="0.25"/>
    <row r="959" ht="60" customHeight="1" x14ac:dyDescent="0.25"/>
    <row r="960" ht="60" customHeight="1" x14ac:dyDescent="0.25"/>
    <row r="961" ht="60" customHeight="1" x14ac:dyDescent="0.25"/>
    <row r="962" ht="60" customHeight="1" x14ac:dyDescent="0.25"/>
    <row r="963" ht="60" customHeight="1" x14ac:dyDescent="0.25"/>
    <row r="964" ht="60" customHeight="1" x14ac:dyDescent="0.25"/>
    <row r="965" ht="60" customHeight="1" x14ac:dyDescent="0.25"/>
    <row r="966" ht="60" customHeight="1" x14ac:dyDescent="0.25"/>
    <row r="967" ht="60" customHeight="1" x14ac:dyDescent="0.25"/>
    <row r="968" ht="60" customHeight="1" x14ac:dyDescent="0.25"/>
    <row r="969" ht="60" customHeight="1" x14ac:dyDescent="0.25"/>
    <row r="970" ht="60" customHeight="1" x14ac:dyDescent="0.25"/>
    <row r="971" ht="60" customHeight="1" x14ac:dyDescent="0.25"/>
    <row r="972" ht="60" customHeight="1" x14ac:dyDescent="0.25"/>
    <row r="973" ht="60" customHeight="1" x14ac:dyDescent="0.25"/>
    <row r="974" ht="60" customHeight="1" x14ac:dyDescent="0.25"/>
    <row r="975" ht="60" customHeight="1" x14ac:dyDescent="0.25"/>
    <row r="976" ht="60" customHeight="1" x14ac:dyDescent="0.25"/>
    <row r="977" ht="60" customHeight="1" x14ac:dyDescent="0.25"/>
    <row r="978" ht="60" customHeight="1" x14ac:dyDescent="0.25"/>
    <row r="979" ht="60" customHeight="1" x14ac:dyDescent="0.25"/>
    <row r="980" ht="60" customHeight="1" x14ac:dyDescent="0.25"/>
    <row r="981" ht="60" customHeight="1" x14ac:dyDescent="0.25"/>
    <row r="982" ht="60" customHeight="1" x14ac:dyDescent="0.25"/>
    <row r="983" ht="60" customHeight="1" x14ac:dyDescent="0.25"/>
    <row r="984" ht="60" customHeight="1" x14ac:dyDescent="0.25"/>
    <row r="985" ht="60" customHeight="1" x14ac:dyDescent="0.25"/>
    <row r="986" ht="60" customHeight="1" x14ac:dyDescent="0.25"/>
    <row r="987" ht="60" customHeight="1" x14ac:dyDescent="0.25"/>
    <row r="988" ht="60" customHeight="1" x14ac:dyDescent="0.25"/>
    <row r="989" ht="60" customHeight="1" x14ac:dyDescent="0.25"/>
    <row r="990" ht="60" customHeight="1" x14ac:dyDescent="0.25"/>
    <row r="991" ht="60" customHeight="1" x14ac:dyDescent="0.25"/>
    <row r="992" ht="60" customHeight="1" x14ac:dyDescent="0.25"/>
    <row r="993" ht="60" customHeight="1" x14ac:dyDescent="0.25"/>
    <row r="994" ht="60" customHeight="1" x14ac:dyDescent="0.25"/>
    <row r="995" ht="60" customHeight="1" x14ac:dyDescent="0.25"/>
    <row r="996" ht="60" customHeight="1" x14ac:dyDescent="0.25"/>
    <row r="997" ht="60" customHeight="1" x14ac:dyDescent="0.25"/>
    <row r="998" ht="60" customHeight="1" x14ac:dyDescent="0.25"/>
  </sheetData>
  <conditionalFormatting sqref="F1">
    <cfRule type="cellIs" dxfId="9" priority="9" operator="equal">
      <formula>"Filter aktiv"</formula>
    </cfRule>
    <cfRule type="cellIs" dxfId="8" priority="10" operator="equal">
      <formula>"Kein Filter aktiv"</formula>
    </cfRule>
  </conditionalFormatting>
  <conditionalFormatting sqref="E1">
    <cfRule type="containsText" dxfId="7" priority="4" operator="containsText" text="ESH">
      <formula>NOT(ISERROR(SEARCH("ESH",E1)))</formula>
    </cfRule>
    <cfRule type="containsText" dxfId="6" priority="5" operator="containsText" text="ES">
      <formula>NOT(ISERROR(SEARCH("ES",E1)))</formula>
    </cfRule>
  </conditionalFormatting>
  <conditionalFormatting sqref="D1">
    <cfRule type="containsText" dxfId="5" priority="6" operator="containsText" text="X">
      <formula>NOT(ISERROR(SEARCH("X",D1)))</formula>
    </cfRule>
    <cfRule type="containsText" dxfId="4" priority="7" operator="containsText" text="B">
      <formula>NOT(ISERROR(SEARCH("B",D1)))</formula>
    </cfRule>
    <cfRule type="containsText" dxfId="3" priority="8" operator="containsText" text="F">
      <formula>NOT(ISERROR(SEARCH("F",D1)))</formula>
    </cfRule>
  </conditionalFormatting>
  <conditionalFormatting sqref="AW2">
    <cfRule type="cellIs" dxfId="2" priority="3" operator="greaterThanOrEqual">
      <formula>6</formula>
    </cfRule>
  </conditionalFormatting>
  <conditionalFormatting sqref="E2">
    <cfRule type="cellIs" dxfId="1" priority="1" operator="equal">
      <formula>"Filter aktiv"</formula>
    </cfRule>
    <cfRule type="cellIs" dxfId="0" priority="2" operator="equal">
      <formula>"Kein Filter aktiv"</formula>
    </cfRule>
  </conditionalFormatting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1DD7A7-A29D-4636-9D99-04806E812BAC}">
  <sheetPr codeName="Tabelle4"/>
  <dimension ref="A1"/>
  <sheetViews>
    <sheetView workbookViewId="0">
      <selection activeCell="G19" sqref="G19"/>
    </sheetView>
  </sheetViews>
  <sheetFormatPr baseColWidth="10" defaultRowHeight="15" x14ac:dyDescent="0.25"/>
  <sheetData/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8F224F-6555-4B0D-9BD9-9D3E6E0DE7A3}">
  <sheetPr codeName="Tabelle5"/>
  <dimension ref="A1"/>
  <sheetViews>
    <sheetView workbookViewId="0">
      <selection activeCell="J37" sqref="J37"/>
    </sheetView>
  </sheetViews>
  <sheetFormatPr baseColWidth="10" defaultRowHeight="15" x14ac:dyDescent="0.25"/>
  <sheetData/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410476-87E7-4DF7-9543-1DBE8C339C1B}">
  <sheetPr codeName="Tabelle6"/>
  <dimension ref="A1"/>
  <sheetViews>
    <sheetView workbookViewId="0"/>
  </sheetViews>
  <sheetFormatPr baseColWidth="10" defaultRowHeight="15" x14ac:dyDescent="0.25"/>
  <sheetData/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6</vt:i4>
      </vt:variant>
    </vt:vector>
  </HeadingPairs>
  <TitlesOfParts>
    <vt:vector size="6" baseType="lpstr">
      <vt:lpstr>Halle von Durin.Arma</vt:lpstr>
      <vt:lpstr>Grab von Balin.Arma</vt:lpstr>
      <vt:lpstr>Brücke von Khazad-dûm.Arma</vt:lpstr>
      <vt:lpstr>Magik</vt:lpstr>
      <vt:lpstr>Mechanik</vt:lpstr>
      <vt:lpstr>Tabelle3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Pablo Ferreres</dc:creator>
  <cp:lastModifiedBy>Pablo Ferreres</cp:lastModifiedBy>
  <dcterms:created xsi:type="dcterms:W3CDTF">2015-06-05T18:19:34Z</dcterms:created>
  <dcterms:modified xsi:type="dcterms:W3CDTF">2025-04-23T12:11:17Z</dcterms:modified>
</cp:coreProperties>
</file>